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pca.state.mn.us\sdrive\Public\Bergen_Annika.AB\Commissioner's Sustainability Challenge_2019\"/>
    </mc:Choice>
  </mc:AlternateContent>
  <bookViews>
    <workbookView xWindow="0" yWindow="0" windowWidth="28800" windowHeight="12000"/>
  </bookViews>
  <sheets>
    <sheet name="Final Scoring" sheetId="1" r:id="rId1"/>
    <sheet name="Daily Scoring - Day 1" sheetId="17" r:id="rId2"/>
    <sheet name="Daily Scoring - Day 2" sheetId="18" r:id="rId3"/>
    <sheet name="Daily Scoring - Day 3" sheetId="19" r:id="rId4"/>
    <sheet name="Daily Scoring - Day 4" sheetId="20" r:id="rId5"/>
    <sheet name="Daily Scoring - Day 5" sheetId="21" r:id="rId6"/>
    <sheet name="Daily Scoring - Day 6" sheetId="22" r:id="rId7"/>
    <sheet name="Daily Scoring - Day 7" sheetId="23" r:id="rId8"/>
    <sheet name="Daily Checklist 2" sheetId="10" state="hidden" r:id="rId9"/>
    <sheet name="Daily Checklist 3" sheetId="11" state="hidden" r:id="rId10"/>
    <sheet name="Daily Checklist 4" sheetId="12" state="hidden" r:id="rId11"/>
    <sheet name="Daily Checklist 5" sheetId="13" state="hidden" r:id="rId12"/>
    <sheet name="Daily Checklist 6" sheetId="15" state="hidden" r:id="rId13"/>
    <sheet name="Daily Checklist 7" sheetId="16" state="hidden" r:id="rId14"/>
  </sheets>
  <definedNames>
    <definedName name="_xlnm._FilterDatabase" localSheetId="1" hidden="1">'Daily Scoring - Day 1'!$A$4:$L$4</definedName>
    <definedName name="_xlnm._FilterDatabase" localSheetId="2" hidden="1">'Daily Scoring - Day 2'!$A$4:$L$4</definedName>
    <definedName name="_xlnm._FilterDatabase" localSheetId="3" hidden="1">'Daily Scoring - Day 3'!$A$4:$L$4</definedName>
    <definedName name="_xlnm._FilterDatabase" localSheetId="4" hidden="1">'Daily Scoring - Day 4'!$A$4:$L$4</definedName>
    <definedName name="_xlnm._FilterDatabase" localSheetId="5" hidden="1">'Daily Scoring - Day 5'!$A$4:$L$4</definedName>
    <definedName name="_xlnm._FilterDatabase" localSheetId="6" hidden="1">'Daily Scoring - Day 6'!$A$4:$L$4</definedName>
    <definedName name="_xlnm._FilterDatabase" localSheetId="7" hidden="1">'Daily Scoring - Day 7'!$A$4:$L$4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6" i="17" l="1"/>
  <c r="I9" i="1"/>
  <c r="J26" i="23"/>
  <c r="G26" i="23"/>
  <c r="K25" i="23"/>
  <c r="H25" i="23"/>
  <c r="K24" i="23"/>
  <c r="H24" i="23"/>
  <c r="K23" i="23"/>
  <c r="H23" i="23"/>
  <c r="K22" i="23"/>
  <c r="H22" i="23"/>
  <c r="K21" i="23"/>
  <c r="H21" i="23"/>
  <c r="K20" i="23"/>
  <c r="H20" i="23"/>
  <c r="K19" i="23"/>
  <c r="H19" i="23"/>
  <c r="K18" i="23"/>
  <c r="H18" i="23"/>
  <c r="K17" i="23"/>
  <c r="H17" i="23"/>
  <c r="K16" i="23"/>
  <c r="H16" i="23"/>
  <c r="K15" i="23"/>
  <c r="H15" i="23"/>
  <c r="K14" i="23"/>
  <c r="H14" i="23"/>
  <c r="K13" i="23"/>
  <c r="H13" i="23"/>
  <c r="K12" i="23"/>
  <c r="H12" i="23"/>
  <c r="K11" i="23"/>
  <c r="H11" i="23"/>
  <c r="K10" i="23"/>
  <c r="H10" i="23"/>
  <c r="K9" i="23"/>
  <c r="H9" i="23"/>
  <c r="K8" i="23"/>
  <c r="H8" i="23"/>
  <c r="K7" i="23"/>
  <c r="H7" i="23"/>
  <c r="K6" i="23"/>
  <c r="H6" i="23"/>
  <c r="K5" i="23"/>
  <c r="H5" i="23"/>
  <c r="H26" i="23" s="1"/>
  <c r="C3" i="23"/>
  <c r="C2" i="23"/>
  <c r="J26" i="22"/>
  <c r="G26" i="22"/>
  <c r="K25" i="22"/>
  <c r="H25" i="22"/>
  <c r="K24" i="22"/>
  <c r="H24" i="22"/>
  <c r="K23" i="22"/>
  <c r="H23" i="22"/>
  <c r="K22" i="22"/>
  <c r="H22" i="22"/>
  <c r="K21" i="22"/>
  <c r="H21" i="22"/>
  <c r="K20" i="22"/>
  <c r="H20" i="22"/>
  <c r="K19" i="22"/>
  <c r="H19" i="22"/>
  <c r="K18" i="22"/>
  <c r="H18" i="22"/>
  <c r="K17" i="22"/>
  <c r="H17" i="22"/>
  <c r="K16" i="22"/>
  <c r="H16" i="22"/>
  <c r="K15" i="22"/>
  <c r="H15" i="22"/>
  <c r="K14" i="22"/>
  <c r="H14" i="22"/>
  <c r="K13" i="22"/>
  <c r="H13" i="22"/>
  <c r="K12" i="22"/>
  <c r="H12" i="22"/>
  <c r="K11" i="22"/>
  <c r="H11" i="22"/>
  <c r="K10" i="22"/>
  <c r="H10" i="22"/>
  <c r="K9" i="22"/>
  <c r="H9" i="22"/>
  <c r="K8" i="22"/>
  <c r="H8" i="22"/>
  <c r="K7" i="22"/>
  <c r="H7" i="22"/>
  <c r="K6" i="22"/>
  <c r="H6" i="22"/>
  <c r="K5" i="22"/>
  <c r="K26" i="22" s="1"/>
  <c r="H5" i="22"/>
  <c r="H26" i="22" s="1"/>
  <c r="C3" i="22"/>
  <c r="C2" i="22"/>
  <c r="J26" i="21"/>
  <c r="H26" i="21"/>
  <c r="G26" i="21"/>
  <c r="K25" i="21"/>
  <c r="H25" i="21"/>
  <c r="K24" i="21"/>
  <c r="H24" i="21"/>
  <c r="K23" i="21"/>
  <c r="H23" i="21"/>
  <c r="K22" i="21"/>
  <c r="H22" i="21"/>
  <c r="K21" i="21"/>
  <c r="H21" i="21"/>
  <c r="K20" i="21"/>
  <c r="H20" i="21"/>
  <c r="K19" i="21"/>
  <c r="H19" i="21"/>
  <c r="K18" i="21"/>
  <c r="H18" i="21"/>
  <c r="K17" i="21"/>
  <c r="H17" i="21"/>
  <c r="K16" i="21"/>
  <c r="H16" i="21"/>
  <c r="K15" i="21"/>
  <c r="H15" i="21"/>
  <c r="K14" i="21"/>
  <c r="H14" i="21"/>
  <c r="K13" i="21"/>
  <c r="H13" i="21"/>
  <c r="K12" i="21"/>
  <c r="H12" i="21"/>
  <c r="K11" i="21"/>
  <c r="H11" i="21"/>
  <c r="K10" i="21"/>
  <c r="H10" i="21"/>
  <c r="K9" i="21"/>
  <c r="H9" i="21"/>
  <c r="K8" i="21"/>
  <c r="H8" i="21"/>
  <c r="K7" i="21"/>
  <c r="H7" i="21"/>
  <c r="K6" i="21"/>
  <c r="H6" i="21"/>
  <c r="K5" i="21"/>
  <c r="K26" i="21" s="1"/>
  <c r="H5" i="21"/>
  <c r="C3" i="21"/>
  <c r="C2" i="21"/>
  <c r="J26" i="20"/>
  <c r="G26" i="20"/>
  <c r="K25" i="20"/>
  <c r="H25" i="20"/>
  <c r="K24" i="20"/>
  <c r="H24" i="20"/>
  <c r="K23" i="20"/>
  <c r="H23" i="20"/>
  <c r="K22" i="20"/>
  <c r="H22" i="20"/>
  <c r="K21" i="20"/>
  <c r="H21" i="20"/>
  <c r="K20" i="20"/>
  <c r="H20" i="20"/>
  <c r="K19" i="20"/>
  <c r="H19" i="20"/>
  <c r="K18" i="20"/>
  <c r="H18" i="20"/>
  <c r="K17" i="20"/>
  <c r="H17" i="20"/>
  <c r="K16" i="20"/>
  <c r="H16" i="20"/>
  <c r="K15" i="20"/>
  <c r="H15" i="20"/>
  <c r="K14" i="20"/>
  <c r="H14" i="20"/>
  <c r="K13" i="20"/>
  <c r="H13" i="20"/>
  <c r="K12" i="20"/>
  <c r="H12" i="20"/>
  <c r="K11" i="20"/>
  <c r="H11" i="20"/>
  <c r="K10" i="20"/>
  <c r="H10" i="20"/>
  <c r="K9" i="20"/>
  <c r="H9" i="20"/>
  <c r="K8" i="20"/>
  <c r="H8" i="20"/>
  <c r="K7" i="20"/>
  <c r="K26" i="20" s="1"/>
  <c r="H7" i="20"/>
  <c r="K6" i="20"/>
  <c r="H6" i="20"/>
  <c r="K5" i="20"/>
  <c r="H5" i="20"/>
  <c r="H26" i="20" s="1"/>
  <c r="C3" i="20"/>
  <c r="C2" i="20"/>
  <c r="J26" i="19"/>
  <c r="G26" i="19"/>
  <c r="K25" i="19"/>
  <c r="H25" i="19"/>
  <c r="K24" i="19"/>
  <c r="H24" i="19"/>
  <c r="K23" i="19"/>
  <c r="H23" i="19"/>
  <c r="K22" i="19"/>
  <c r="H22" i="19"/>
  <c r="K21" i="19"/>
  <c r="H21" i="19"/>
  <c r="K20" i="19"/>
  <c r="H20" i="19"/>
  <c r="K19" i="19"/>
  <c r="H19" i="19"/>
  <c r="K18" i="19"/>
  <c r="H18" i="19"/>
  <c r="K17" i="19"/>
  <c r="H17" i="19"/>
  <c r="K16" i="19"/>
  <c r="H16" i="19"/>
  <c r="K15" i="19"/>
  <c r="H15" i="19"/>
  <c r="K14" i="19"/>
  <c r="H14" i="19"/>
  <c r="K13" i="19"/>
  <c r="H13" i="19"/>
  <c r="K12" i="19"/>
  <c r="H12" i="19"/>
  <c r="K11" i="19"/>
  <c r="H11" i="19"/>
  <c r="K10" i="19"/>
  <c r="H10" i="19"/>
  <c r="K9" i="19"/>
  <c r="H9" i="19"/>
  <c r="K8" i="19"/>
  <c r="H8" i="19"/>
  <c r="K7" i="19"/>
  <c r="H7" i="19"/>
  <c r="K6" i="19"/>
  <c r="H6" i="19"/>
  <c r="K5" i="19"/>
  <c r="K26" i="19" s="1"/>
  <c r="H5" i="19"/>
  <c r="H26" i="19" s="1"/>
  <c r="C3" i="19"/>
  <c r="C2" i="19"/>
  <c r="J26" i="18"/>
  <c r="G26" i="18"/>
  <c r="K25" i="18"/>
  <c r="H25" i="18"/>
  <c r="K24" i="18"/>
  <c r="H24" i="18"/>
  <c r="K23" i="18"/>
  <c r="H23" i="18"/>
  <c r="K22" i="18"/>
  <c r="H22" i="18"/>
  <c r="K21" i="18"/>
  <c r="H21" i="18"/>
  <c r="K20" i="18"/>
  <c r="H20" i="18"/>
  <c r="K19" i="18"/>
  <c r="H19" i="18"/>
  <c r="K18" i="18"/>
  <c r="H18" i="18"/>
  <c r="K17" i="18"/>
  <c r="H17" i="18"/>
  <c r="K16" i="18"/>
  <c r="H16" i="18"/>
  <c r="K15" i="18"/>
  <c r="H15" i="18"/>
  <c r="K14" i="18"/>
  <c r="H14" i="18"/>
  <c r="K13" i="18"/>
  <c r="H13" i="18"/>
  <c r="K12" i="18"/>
  <c r="H12" i="18"/>
  <c r="K11" i="18"/>
  <c r="H11" i="18"/>
  <c r="K10" i="18"/>
  <c r="H10" i="18"/>
  <c r="K9" i="18"/>
  <c r="H9" i="18"/>
  <c r="K8" i="18"/>
  <c r="H8" i="18"/>
  <c r="K7" i="18"/>
  <c r="H7" i="18"/>
  <c r="K6" i="18"/>
  <c r="H6" i="18"/>
  <c r="H26" i="18" s="1"/>
  <c r="K5" i="18"/>
  <c r="K26" i="18" s="1"/>
  <c r="H5" i="18"/>
  <c r="C3" i="18"/>
  <c r="C2" i="18"/>
  <c r="K13" i="17"/>
  <c r="I16" i="1" s="1"/>
  <c r="K26" i="23" l="1"/>
  <c r="G28" i="1"/>
  <c r="G27" i="1"/>
  <c r="G26" i="1"/>
  <c r="G25" i="1"/>
  <c r="G24" i="1"/>
  <c r="G23" i="1"/>
  <c r="G22" i="1"/>
  <c r="G21" i="1"/>
  <c r="G20" i="1"/>
  <c r="G19" i="1"/>
  <c r="G18" i="1"/>
  <c r="G17" i="1"/>
  <c r="G16" i="1"/>
  <c r="G15" i="1"/>
  <c r="G14" i="1"/>
  <c r="G13" i="1"/>
  <c r="G12" i="1"/>
  <c r="G11" i="1"/>
  <c r="G10" i="1"/>
  <c r="G9" i="1"/>
  <c r="G8" i="1"/>
  <c r="J26" i="17"/>
  <c r="H26" i="17"/>
  <c r="H25" i="17"/>
  <c r="H24" i="17"/>
  <c r="H23" i="17"/>
  <c r="H22" i="17"/>
  <c r="H21" i="17"/>
  <c r="H20" i="17"/>
  <c r="H19" i="17"/>
  <c r="H18" i="17"/>
  <c r="H17" i="17"/>
  <c r="H16" i="17"/>
  <c r="H15" i="17"/>
  <c r="H14" i="17"/>
  <c r="H13" i="17"/>
  <c r="H12" i="17"/>
  <c r="H11" i="17"/>
  <c r="H10" i="17"/>
  <c r="H9" i="17"/>
  <c r="H8" i="17"/>
  <c r="H7" i="17"/>
  <c r="H6" i="17"/>
  <c r="H5" i="17"/>
  <c r="K25" i="17"/>
  <c r="I28" i="1" s="1"/>
  <c r="K24" i="17"/>
  <c r="I27" i="1" s="1"/>
  <c r="K23" i="17"/>
  <c r="I26" i="1" s="1"/>
  <c r="K22" i="17"/>
  <c r="I25" i="1" s="1"/>
  <c r="K21" i="17"/>
  <c r="I24" i="1" s="1"/>
  <c r="K20" i="17"/>
  <c r="I23" i="1" s="1"/>
  <c r="K19" i="17"/>
  <c r="I22" i="1" s="1"/>
  <c r="K18" i="17"/>
  <c r="I21" i="1" s="1"/>
  <c r="K17" i="17"/>
  <c r="I20" i="1" s="1"/>
  <c r="K16" i="17"/>
  <c r="I19" i="1" s="1"/>
  <c r="K15" i="17"/>
  <c r="I18" i="1" s="1"/>
  <c r="K14" i="17"/>
  <c r="I17" i="1" s="1"/>
  <c r="K12" i="17"/>
  <c r="I15" i="1" s="1"/>
  <c r="K11" i="17"/>
  <c r="I14" i="1" s="1"/>
  <c r="K10" i="17"/>
  <c r="I13" i="1" s="1"/>
  <c r="K9" i="17"/>
  <c r="I12" i="1" s="1"/>
  <c r="K8" i="17"/>
  <c r="I11" i="1" s="1"/>
  <c r="K7" i="17"/>
  <c r="I10" i="1" s="1"/>
  <c r="K5" i="17"/>
  <c r="I8" i="1" s="1"/>
  <c r="I41" i="1" l="1"/>
  <c r="G41" i="1"/>
  <c r="K26" i="17"/>
  <c r="C3" i="17"/>
  <c r="C2" i="17"/>
  <c r="G26" i="17" l="1"/>
  <c r="C3" i="16" l="1"/>
  <c r="C2" i="16"/>
  <c r="C3" i="15"/>
  <c r="C2" i="15"/>
  <c r="C3" i="13"/>
  <c r="C2" i="13"/>
  <c r="C3" i="12"/>
  <c r="C2" i="12"/>
  <c r="C3" i="11"/>
  <c r="C2" i="11"/>
  <c r="C3" i="10"/>
  <c r="C2" i="10"/>
</calcChain>
</file>

<file path=xl/sharedStrings.xml><?xml version="1.0" encoding="utf-8"?>
<sst xmlns="http://schemas.openxmlformats.org/spreadsheetml/2006/main" count="1787" uniqueCount="216">
  <si>
    <t>#</t>
  </si>
  <si>
    <t>Environmental Benefit</t>
  </si>
  <si>
    <t>In person task? Action throughout the week?</t>
  </si>
  <si>
    <t>Category</t>
  </si>
  <si>
    <t>Behavior/Action</t>
  </si>
  <si>
    <t>Points Available</t>
  </si>
  <si>
    <t>Point Scoring</t>
  </si>
  <si>
    <t>Sustainability Tip</t>
  </si>
  <si>
    <t>In Person</t>
  </si>
  <si>
    <t>Footprint</t>
  </si>
  <si>
    <t>Waste Sort</t>
  </si>
  <si>
    <t>Complete the Water Footprint Calculator</t>
  </si>
  <si>
    <t>Complete a waste sort, determining which items should be recycled, composted, or trashed</t>
  </si>
  <si>
    <t>Best Option</t>
  </si>
  <si>
    <t>Action Throughout the Week</t>
  </si>
  <si>
    <t>Food – No Meat</t>
  </si>
  <si>
    <t>Mobility – General Travel</t>
  </si>
  <si>
    <t>Goods/Services – Single-Use Plastic</t>
  </si>
  <si>
    <t>Good Option</t>
  </si>
  <si>
    <t>Food – Wasted Food</t>
  </si>
  <si>
    <t>Mobility – Work Travel</t>
  </si>
  <si>
    <t>Helpful Option</t>
  </si>
  <si>
    <t>Did you shut your blinds during the day (summer) or at night (winter)?</t>
  </si>
  <si>
    <t>Mobility – Stairs</t>
  </si>
  <si>
    <t>Mobility – Planning</t>
  </si>
  <si>
    <t>Goods/Services – Paper Towels</t>
  </si>
  <si>
    <t>Extra Credit</t>
  </si>
  <si>
    <t>Do you compost at home (backyard, organics collection, drop-off)?</t>
  </si>
  <si>
    <t>When you have to buy something new, do you look for items that are light-weighted for materials or use recycled content to encourage circularity?</t>
  </si>
  <si>
    <t>Shelter/Energy - Unplug Electronics</t>
  </si>
  <si>
    <t>Shelter/Energy - Shut Off Computer</t>
  </si>
  <si>
    <t>Goods/Services - Online Shopping</t>
  </si>
  <si>
    <t>Goods/Services - Reusable Bags</t>
  </si>
  <si>
    <t>Food - Food Delivery</t>
  </si>
  <si>
    <t>Did you know you can bring your own Tupperware to take leftovers home when you can’t finish your meal out? Keep one in your car and/or bag so you don't need to create demand for the single-use options.</t>
  </si>
  <si>
    <t>Shelter/Energy - Blinds</t>
  </si>
  <si>
    <t>Goods/Services - Printing</t>
  </si>
  <si>
    <t>Do you only get online/electronic bank statements and bills?</t>
  </si>
  <si>
    <t>Points Earned</t>
  </si>
  <si>
    <t>Sustainability Team Member:</t>
  </si>
  <si>
    <t>Kick-Off</t>
  </si>
  <si>
    <t>Wrap-Up</t>
  </si>
  <si>
    <t>Leader with the most improvement will be recognized.</t>
  </si>
  <si>
    <t>Total Points Available:</t>
  </si>
  <si>
    <t>Total Points Earned:</t>
  </si>
  <si>
    <t>Participant:</t>
  </si>
  <si>
    <t>Did you eat meat (red meat, white meat, fish/seafood) today?</t>
  </si>
  <si>
    <t>Did you unplug the electronics and appliances you own that draw the most power (i.e. computer and phone chargers, coffee maker, desktop, etc.) today?</t>
  </si>
  <si>
    <t>Did you use a personal gas-powered vehicle today?</t>
  </si>
  <si>
    <t>Did you use single-use food and beverage items (including bottles/cans, containers, service ware, and utensils) today?</t>
  </si>
  <si>
    <t>Did you buy anything online today?</t>
  </si>
  <si>
    <t>Did you email documents, share on a screen, and/or share via skype/webex to avoid printing today?</t>
  </si>
  <si>
    <t>Did you have to travel for work today?
If yes, what percent of the travel did you use alternative transportation (electric vehicles, public transportation, biking/walking)?</t>
  </si>
  <si>
    <t>Response</t>
  </si>
  <si>
    <t>SUSTAINABILITY CHALLENGE DAILY CHECKLIST</t>
  </si>
  <si>
    <t>Complete the Ecological Footprint Calculator</t>
  </si>
  <si>
    <t>2019 COMMISSIONER'S OFFICE SUSTAINABILITY CHALLENGE</t>
  </si>
  <si>
    <t>Goods/Services - Sustainable Cleaning</t>
  </si>
  <si>
    <t>A person’s ecological footprint includes both personal and societal impacts – individual lifestyle choices (food, mobility, etc.) are important to reducing our environmental impacts; however, systems and infrastructure changes are also needed. As a state environmental agency, the MPCA has the ability and responsibility to influence both.
https://www.footprintcalculator.org/</t>
  </si>
  <si>
    <t>Water footprints are an assessment of direct and virtual water use patterns. Fresh water is vital to life, but as the world’s population grows, so does its use of water.  It takes water – a lot of it – to produce food, to make energy and to manufacture consumer products. This is what’s known as virtual water.
https://www.watercalculator.org/</t>
  </si>
  <si>
    <t>Preventing waste is the best option, but when you have items needing disposal, State statute includes a waste hierarchy indicating which methods have the least environmental impact. Between these three options, it’s better to recycle when possible, then compost, and then finally landfill (trash).</t>
  </si>
  <si>
    <t>Already a vegetarian? Reduce your impact further by reducing the amount of animal products you consume (cheese, eggs, etc.), and choose organic, local options. It’s better for your health and great support for the MN economy!
https://www.nytimes.com/interactive/2019/04/30/dining/climate-change-food-eating-habits.html</t>
  </si>
  <si>
    <t>Back in the day there was a difference between on and off. Now, it’s more complicated and roughly 50 devices and appliances in the typical American household are always drawing power, even when they appear to be off. Turn off power strips, and unplug when not in use!
https://cleantechnica.com/2015/02/18/room-room-guide-ousting-energy-vampires-lurking-home/</t>
  </si>
  <si>
    <t>Nearly half of all air pollution in our state comes from vehicles. So one of the greatest contributions we can all make to improving air quality is to use alternatives to driving a car, especially as a sole occupant. 
Plus, did you know the MPCA is named a Bicycle Friendly Business?
https://www.pca.state.mn.us/bus-bike-and-walk</t>
  </si>
  <si>
    <t>Recyclable and compostable plastics are still single-use and have an environmental footprint – avoid use of these options by bringing your own plates/utensils/napkins to the MPCA cafeteria.
https://lorax.pca.state.mn.us/news/reduce-waste-and-take-your-own-dishes-cafeteria</t>
  </si>
  <si>
    <t>If you didn't clean every day, you may want to change some personal habits - kidding!
MPCA have invested a lot of effort reaching out to community groups about the dangers of harsh, chemical-heavy cleaners. The best part is you can make them yourself and reduce the number of different cleaners needed for all of your household surfaces.
Check out the Hennepin County video on FB for a tutorial: https://www.facebook.com/hennepin/videos/vb.211281525566478/2448986885120718/?type=2&amp;theater</t>
  </si>
  <si>
    <t>The average American wastes 290lbs of food/year – composting is a great option for food scraps, but isn’t a solution to wasted food. Most of the greenhouse gas emissions in the life cycle of our food is from food production, not end-of-life management. Be conscious of how you store food, the size of portions you take, and how you save left-overs to reduce wasted food.
https://www.pca.state.mn.us/simple-ways-cut-food-waste</t>
  </si>
  <si>
    <t>If you're unsure how to navigate alternative transportation, never fear! The MPCA Sustainable Transit Team can provide tips, advice, and input on your best options.
https://lorax.pca.state.mn.us/sustainable-transit-team</t>
  </si>
  <si>
    <t>Emailing agendas and meeting notes is just as helpful, if not more, than using paper with printed versions.
Speaking of more sustainable meetings - are you using the green meeting checklist every time you plan or attend a meeting?
https://lorax.pca.state.mn.us/green-meetings</t>
  </si>
  <si>
    <t>At home, use reusable cloths and/or rags. At work you can air-dry, or if you need help getting down to just one paper towel to start, check out this TED talk for instructions.
https://www.ted.com/talks/joe_smith_how_to_use_a_paper_towel?language=en</t>
  </si>
  <si>
    <t>You are a sustainability rockstar!</t>
  </si>
  <si>
    <t>Let's be real, it's much easier to manage when everything's online anyways.
Still getting a lot of other junk mail? There are options to help you remove your name off some lists: https://www.pca.state.mn.us/too-much-junk-mail</t>
  </si>
  <si>
    <r>
      <t xml:space="preserve">Don't just buy something that </t>
    </r>
    <r>
      <rPr>
        <b/>
        <sz val="9"/>
        <color rgb="FF002060"/>
        <rFont val="Calibri"/>
        <family val="2"/>
        <scheme val="minor"/>
      </rPr>
      <t>can</t>
    </r>
    <r>
      <rPr>
        <sz val="9"/>
        <color rgb="FF002060"/>
        <rFont val="Calibri"/>
        <family val="2"/>
        <scheme val="minor"/>
      </rPr>
      <t xml:space="preserve"> be recycled - buy something that is made from recycled content to help support markets.
https://www.pca.state.mn.us/featured/reduce-reuse-and-buy-items-made-recycled-materials</t>
    </r>
  </si>
  <si>
    <t>Have you checked out the bag tree set up by the lower-level exit to the parking lot? If you forget a bag and need to borrow one, take it and bring it back the next day. The Sustainability Team will clean and repair any that need fixing.
https://lorax.pca.state.mn.us/news/tote-ally-sustainable-bag-share-station</t>
  </si>
  <si>
    <t>Extra Credit - yes / no</t>
  </si>
  <si>
    <t>Learn more about composting your backyard: https://www.pca.state.mn.us/waste/composting-your-backyard
Learn what can go in your organics bin:
http://www.minneapolismn.gov/solid-waste/organics/acceptable-organics
Check out where organics drop-offs are located:
http://www.mncompostingcouncil.org/organics-collection--drop-off-programs.html</t>
  </si>
  <si>
    <t>Fashion is considered one of the most polluting industries in the world, and recognized for unsafe and exploitative working conditions. Avoid fast fashion! Buy fewer, and more durable clothes and shop at secondhand retailers. Remember - donating clothing is a good alternative to throwing away directly, but don't view that as an opportunity to then go on a new shopping spree! 
https://www.wri.org/blog/2017/07/apparel-industrys-environmental-impact-6-graphics
If you haven't yet, participate in the MPCA clothing swaps or host one in your community!
https://www.wri.org/blog/2017/07/apparel-industrys-environmental-impact-6-graphics</t>
  </si>
  <si>
    <t>Did you use non-toxic cleaning solutions and a reusable cleaning cloth/device (instead of paper towels, chemicals, etc.) when you cleaned today?</t>
  </si>
  <si>
    <t>Taking the stairs has an environmental benefit because it lessens the energy consumption of our building, but it also offers important health benefits by lowering bad cholesterol levels, relieving stress, increase muscle strength, and improving joint health.
http://www.startribune.com/want-a-cheap-way-to-get-healthier-and-develop-a-fabulous-butt-take-the-stairs/506050542/</t>
  </si>
  <si>
    <t>What % of the time did  you use only one paper towel to dry your hands in the bathroom today?</t>
  </si>
  <si>
    <t>Did you start your day today by planning your route and activities to minimize unnecessary or extra travel?</t>
  </si>
  <si>
    <t>Did you use the elevator instead of using the stairs throughout the day today?</t>
  </si>
  <si>
    <t>Did you get food delivered, order take-out, or buy fast food today?</t>
  </si>
  <si>
    <t>Did you use single-use bags for produce, groceries, and/or other shopping today?</t>
  </si>
  <si>
    <t>Did you shut off your computer/monitor at the end of the day?
Did you put your computer to sleep (lock, turn off monitors) when you were away throughout today?</t>
  </si>
  <si>
    <t>Did you have food remaining that you didn’t save at any meals today? 
If yes, how many? Did you compost or trash that wasted food?</t>
  </si>
  <si>
    <t>We all love natural light, especially if it allows to turn off indoor lighting, but when the sun is at its peak it's best to shut the blinds to keep the temperature down. Similarly in the winter, closing the blinds at night helps keeping the heat inside and unnecessarily cooling through exposed windows.
Typical households and workplaces abuse thermostats, keeping it unnecessarily cool in the summer and overheated in the winter. Dress for the season to minimize your use!</t>
  </si>
  <si>
    <t>Did you shut your blinds during the day (summer) / at night (winter)?</t>
  </si>
  <si>
    <t>Did you use a personal vehicle today?
What type of personal vehicle was used?
- Gas-powered vehicle
- Hybrid vehicle
- Plug-in hybrid vehicle
- All electric vehicle
Did you carpool?</t>
  </si>
  <si>
    <t>Did you start your day today by planning your route and activities to minimize unnecessary or extra travel?
- Yes
- Yes - I made a plan but I had to deviate from the plan today
- No</t>
  </si>
  <si>
    <t>Did you have to travel for work today?
Did you use an alternative, more sustainable form of transportation for your work travel?
- All electric vehicle
- Public transportation
- Bike/scooter/walk
- Carpool</t>
  </si>
  <si>
    <t>Subcategory</t>
  </si>
  <si>
    <t>Unplug Electronics</t>
  </si>
  <si>
    <t>01 - Food</t>
  </si>
  <si>
    <t>Meatless</t>
  </si>
  <si>
    <t>Wasted Food</t>
  </si>
  <si>
    <t>02 - Shelter &amp; Energy</t>
  </si>
  <si>
    <t>Shut Off Computer</t>
  </si>
  <si>
    <t>Blinds</t>
  </si>
  <si>
    <t>Did you eat meat (red meat, white meat, fish/seafood) today?
Did you eat primarily:
- Red meat (beef, pork, lamb, etc.)
- White meat (chicken)
- Fish/seafood
Was it locally sourced and organic?
- Yes
- No
- Unsure</t>
  </si>
  <si>
    <t>03 - Mobility</t>
  </si>
  <si>
    <t>General Travel</t>
  </si>
  <si>
    <t>Work Travel</t>
  </si>
  <si>
    <t>Stairs</t>
  </si>
  <si>
    <t>Planning</t>
  </si>
  <si>
    <t>Single-Use Plastic</t>
  </si>
  <si>
    <t>04 - Goods/Services</t>
  </si>
  <si>
    <t>Sustainable Cleaning</t>
  </si>
  <si>
    <t>Online Shopping</t>
  </si>
  <si>
    <t>Reusable Bags</t>
  </si>
  <si>
    <t>Paper Towels</t>
  </si>
  <si>
    <t>Printing</t>
  </si>
  <si>
    <t xml:space="preserve">05 - Water </t>
  </si>
  <si>
    <t>Materials</t>
  </si>
  <si>
    <t>Electronic Statements</t>
  </si>
  <si>
    <t>Secondhand Clothing</t>
  </si>
  <si>
    <t>Compost</t>
  </si>
  <si>
    <t>Zero Emissions</t>
  </si>
  <si>
    <t>-</t>
  </si>
  <si>
    <t>Did you have food remaining that you didn’t save to eat later at any meals today? 
How many meals had wasted food?
- Breakfast 
- Lunch
- Dinner
- Snacks only
Did you compost or trash the wasted food?
- Composted
- Threw it in the trash</t>
  </si>
  <si>
    <t>Food and Drink</t>
  </si>
  <si>
    <t>It is estimated that around 4 billion Starbucks disposable cups are thrown away annually in the US alone.
Many coffee shops offer a discount for bringing your own mug. It is easy to bring your own mug to meetings and other events to avoid using disposable options when reusable mugs aren't made available.
Learn More: More than Cups: Considering Sustainability in the Coffee Shop Industry - Daily Coffee News</t>
  </si>
  <si>
    <t>Did you shut off your computer/monitor at the end of the day?
- Yes
- No
- Unsure
Did you put your computer to sleep (lock, turn off monitors) when you were away throughout today?
- Yes
- No
- Some of the time</t>
  </si>
  <si>
    <t>Did you use the stairs instead of taking the elevator throughout the day today?
- Yes - all the time
- Yes - some of the time
- No - always used the elevator</t>
  </si>
  <si>
    <t>Did you shop for consumer goods (groceries, clothes, etc.) today?
What bags did you use?
- No bags
- Reusable bags
- Plastic/paper bags from the retailer</t>
  </si>
  <si>
    <t>When drying your hands in the restroom today, did you:
- Use multiple single-use paper towels
- Use single-use paper towels, but ONLY one each time
- Use a reusable cloth towel
- Ues an electric hand dryer
- Air dry/Shake it off</t>
  </si>
  <si>
    <t>Did you email documents, share or present a computer screen, and/or share via Skype/WebEex to avoid printing today? 
- Yes - all of the time
- Yes - some of the time
- No - always provided printed versions</t>
  </si>
  <si>
    <t>Washing Dishes</t>
  </si>
  <si>
    <t>Bathing</t>
  </si>
  <si>
    <t>Did you bathe today?
- Yes - shower
- Yes - bath
- No (we aren't judging!)
Did you shower for five minutes or less?
Did you turn off the water while lathering and shaving?</t>
  </si>
  <si>
    <t>Brushing Teeth</t>
  </si>
  <si>
    <t>Did you turn off the water while you brushed your teeth?</t>
  </si>
  <si>
    <t>Water Quality</t>
  </si>
  <si>
    <t>Smart salting is important for local water quality. Use the Smart Salting Assessment tool to determine best practices and reduce salt use.
Learn More: Smart Salting Assessment tool - MPCA</t>
  </si>
  <si>
    <t>Studies show that washing a load of dishes by hand can use up to 27 gallons of water and 2.5 kWh of energy to heat the water versus just 4 gallons of water and 1 kWH of energy when using an energy-efficient dishwasher (with a full load!)
Learn More: Which is Better for the Enviornment: Washing Dishes By Hand Or The Dishwasher? - Huffpost</t>
  </si>
  <si>
    <r>
      <t xml:space="preserve">No ordered food = 4 pts
</t>
    </r>
    <r>
      <rPr>
        <b/>
        <sz val="11"/>
        <color rgb="FFFF0000"/>
        <rFont val="Calibri"/>
        <family val="2"/>
        <scheme val="minor"/>
      </rPr>
      <t>OR</t>
    </r>
    <r>
      <rPr>
        <b/>
        <sz val="11"/>
        <color rgb="FF002060"/>
        <rFont val="Calibri"/>
        <family val="2"/>
        <scheme val="minor"/>
      </rPr>
      <t xml:space="preserve">
</t>
    </r>
    <r>
      <rPr>
        <sz val="11"/>
        <color rgb="FF002060"/>
        <rFont val="Calibri"/>
        <family val="2"/>
        <scheme val="minor"/>
      </rPr>
      <t>Ordered food (delivered, take-out, fast food) = 0 pts</t>
    </r>
  </si>
  <si>
    <r>
      <t xml:space="preserve">Unplugged electronics = 4 pts
</t>
    </r>
    <r>
      <rPr>
        <b/>
        <sz val="11"/>
        <color rgb="FFFF0000"/>
        <rFont val="Calibri"/>
        <family val="2"/>
        <scheme val="minor"/>
      </rPr>
      <t>OR</t>
    </r>
    <r>
      <rPr>
        <sz val="11"/>
        <color rgb="FF002060"/>
        <rFont val="Calibri"/>
        <family val="2"/>
        <scheme val="minor"/>
      </rPr>
      <t xml:space="preserve">
Didn't unplug electronics = 0 pts</t>
    </r>
  </si>
  <si>
    <r>
      <t xml:space="preserve">Blinds shut = 4 pts
</t>
    </r>
    <r>
      <rPr>
        <b/>
        <sz val="11"/>
        <color rgb="FFFF0000"/>
        <rFont val="Calibri"/>
        <family val="2"/>
        <scheme val="minor"/>
      </rPr>
      <t>OR</t>
    </r>
    <r>
      <rPr>
        <b/>
        <sz val="11"/>
        <color rgb="FF002060"/>
        <rFont val="Calibri"/>
        <family val="2"/>
        <scheme val="minor"/>
      </rPr>
      <t xml:space="preserve">
</t>
    </r>
    <r>
      <rPr>
        <sz val="11"/>
        <color rgb="FF002060"/>
        <rFont val="Calibri"/>
        <family val="2"/>
        <scheme val="minor"/>
      </rPr>
      <t>Blinds not shut = 0 pts</t>
    </r>
  </si>
  <si>
    <r>
      <t xml:space="preserve">No personal vehicle = 4 pts
</t>
    </r>
    <r>
      <rPr>
        <b/>
        <sz val="11"/>
        <color rgb="FFFF0000"/>
        <rFont val="Calibri"/>
        <family val="2"/>
        <scheme val="minor"/>
      </rPr>
      <t>OR</t>
    </r>
    <r>
      <rPr>
        <sz val="11"/>
        <color rgb="FF002060"/>
        <rFont val="Calibri"/>
        <family val="2"/>
        <scheme val="minor"/>
      </rPr>
      <t xml:space="preserve">
All electric vehicle = 3 pts
</t>
    </r>
    <r>
      <rPr>
        <b/>
        <sz val="11"/>
        <color rgb="FFFF0000"/>
        <rFont val="Calibri"/>
        <family val="2"/>
        <scheme val="minor"/>
      </rPr>
      <t>OR</t>
    </r>
    <r>
      <rPr>
        <sz val="11"/>
        <color rgb="FF002060"/>
        <rFont val="Calibri"/>
        <family val="2"/>
        <scheme val="minor"/>
      </rPr>
      <t xml:space="preserve">
Hybrid</t>
    </r>
    <r>
      <rPr>
        <b/>
        <sz val="11"/>
        <color rgb="FF002060"/>
        <rFont val="Calibri"/>
        <family val="2"/>
        <scheme val="minor"/>
      </rPr>
      <t xml:space="preserve"> OR</t>
    </r>
    <r>
      <rPr>
        <sz val="11"/>
        <color rgb="FF002060"/>
        <rFont val="Calibri"/>
        <family val="2"/>
        <scheme val="minor"/>
      </rPr>
      <t xml:space="preserve"> Plug-in hybrid vehicle = 2 pts
Gas-powered vehicle = 0 pts
</t>
    </r>
    <r>
      <rPr>
        <b/>
        <sz val="11"/>
        <color theme="7"/>
        <rFont val="Calibri"/>
        <family val="2"/>
        <scheme val="minor"/>
      </rPr>
      <t>AND</t>
    </r>
    <r>
      <rPr>
        <sz val="11"/>
        <color rgb="FF002060"/>
        <rFont val="Calibri"/>
        <family val="2"/>
        <scheme val="minor"/>
      </rPr>
      <t xml:space="preserve">
Carpool = +1 pt
No carpool = 0 pts</t>
    </r>
  </si>
  <si>
    <r>
      <t xml:space="preserve">Yes, planned = 4 pts
</t>
    </r>
    <r>
      <rPr>
        <b/>
        <sz val="11"/>
        <color rgb="FFFF0000"/>
        <rFont val="Calibri"/>
        <family val="2"/>
        <scheme val="minor"/>
      </rPr>
      <t>OR</t>
    </r>
    <r>
      <rPr>
        <sz val="11"/>
        <color rgb="FF002060"/>
        <rFont val="Calibri"/>
        <family val="2"/>
        <scheme val="minor"/>
      </rPr>
      <t xml:space="preserve">
Yes, but deviated = 2 pts
</t>
    </r>
    <r>
      <rPr>
        <b/>
        <sz val="11"/>
        <color rgb="FFFF0000"/>
        <rFont val="Calibri"/>
        <family val="2"/>
        <scheme val="minor"/>
      </rPr>
      <t>OR</t>
    </r>
    <r>
      <rPr>
        <sz val="11"/>
        <color rgb="FF002060"/>
        <rFont val="Calibri"/>
        <family val="2"/>
        <scheme val="minor"/>
      </rPr>
      <t xml:space="preserve">
No plan = 0 pts</t>
    </r>
  </si>
  <si>
    <r>
      <t xml:space="preserve">No work travel </t>
    </r>
    <r>
      <rPr>
        <b/>
        <sz val="11"/>
        <color rgb="FF002060"/>
        <rFont val="Calibri"/>
        <family val="2"/>
        <scheme val="minor"/>
      </rPr>
      <t>OR</t>
    </r>
    <r>
      <rPr>
        <sz val="11"/>
        <color rgb="FF002060"/>
        <rFont val="Calibri"/>
        <family val="2"/>
        <scheme val="minor"/>
      </rPr>
      <t xml:space="preserve"> Bike/scooter/walk = 4 pts
</t>
    </r>
    <r>
      <rPr>
        <b/>
        <sz val="11"/>
        <color rgb="FFFF0000"/>
        <rFont val="Calibri"/>
        <family val="2"/>
        <scheme val="minor"/>
      </rPr>
      <t>OR</t>
    </r>
    <r>
      <rPr>
        <b/>
        <sz val="11"/>
        <color rgb="FF002060"/>
        <rFont val="Calibri"/>
        <family val="2"/>
        <scheme val="minor"/>
      </rPr>
      <t xml:space="preserve">
</t>
    </r>
    <r>
      <rPr>
        <sz val="11"/>
        <color rgb="FF002060"/>
        <rFont val="Calibri"/>
        <family val="2"/>
        <scheme val="minor"/>
      </rPr>
      <t xml:space="preserve">Public transportation = 3 pts
</t>
    </r>
    <r>
      <rPr>
        <b/>
        <sz val="11"/>
        <color rgb="FFFF0000"/>
        <rFont val="Calibri"/>
        <family val="2"/>
        <scheme val="minor"/>
      </rPr>
      <t>OR</t>
    </r>
    <r>
      <rPr>
        <b/>
        <sz val="11"/>
        <color rgb="FF002060"/>
        <rFont val="Calibri"/>
        <family val="2"/>
        <scheme val="minor"/>
      </rPr>
      <t xml:space="preserve">
</t>
    </r>
    <r>
      <rPr>
        <sz val="11"/>
        <color rgb="FF002060"/>
        <rFont val="Calibri"/>
        <family val="2"/>
        <scheme val="minor"/>
      </rPr>
      <t xml:space="preserve">All electric vehicle </t>
    </r>
    <r>
      <rPr>
        <b/>
        <sz val="11"/>
        <color rgb="FF002060"/>
        <rFont val="Calibri"/>
        <family val="2"/>
        <scheme val="minor"/>
      </rPr>
      <t>OR</t>
    </r>
    <r>
      <rPr>
        <sz val="11"/>
        <color rgb="FF002060"/>
        <rFont val="Calibri"/>
        <family val="2"/>
        <scheme val="minor"/>
      </rPr>
      <t xml:space="preserve"> Carpool = 2pts
</t>
    </r>
    <r>
      <rPr>
        <b/>
        <sz val="11"/>
        <color rgb="FFFF0000"/>
        <rFont val="Calibri"/>
        <family val="2"/>
        <scheme val="minor"/>
      </rPr>
      <t>OR</t>
    </r>
    <r>
      <rPr>
        <b/>
        <sz val="11"/>
        <color rgb="FF002060"/>
        <rFont val="Calibri"/>
        <family val="2"/>
        <scheme val="minor"/>
      </rPr>
      <t xml:space="preserve">
</t>
    </r>
    <r>
      <rPr>
        <sz val="11"/>
        <color rgb="FF002060"/>
        <rFont val="Calibri"/>
        <family val="2"/>
        <scheme val="minor"/>
      </rPr>
      <t xml:space="preserve">Travel without sustainable transport = 0 pts
</t>
    </r>
  </si>
  <si>
    <r>
      <t xml:space="preserve">All the time = 4 pts
</t>
    </r>
    <r>
      <rPr>
        <b/>
        <sz val="11"/>
        <color rgb="FFFF0000"/>
        <rFont val="Calibri"/>
        <family val="2"/>
        <scheme val="minor"/>
      </rPr>
      <t>OR</t>
    </r>
    <r>
      <rPr>
        <sz val="11"/>
        <color rgb="FF002060"/>
        <rFont val="Calibri"/>
        <family val="2"/>
        <scheme val="minor"/>
      </rPr>
      <t xml:space="preserve">
Some of the time = 2 pts
</t>
    </r>
    <r>
      <rPr>
        <b/>
        <sz val="11"/>
        <color rgb="FFFF0000"/>
        <rFont val="Calibri"/>
        <family val="2"/>
        <scheme val="minor"/>
      </rPr>
      <t>OR</t>
    </r>
    <r>
      <rPr>
        <b/>
        <sz val="11"/>
        <color rgb="FF002060"/>
        <rFont val="Calibri"/>
        <family val="2"/>
        <scheme val="minor"/>
      </rPr>
      <t xml:space="preserve">
</t>
    </r>
    <r>
      <rPr>
        <sz val="11"/>
        <color rgb="FF002060"/>
        <rFont val="Calibri"/>
        <family val="2"/>
        <scheme val="minor"/>
      </rPr>
      <t>Always used elevator = 0 pts</t>
    </r>
  </si>
  <si>
    <r>
      <t xml:space="preserve">Used single-use items = 0 pts
</t>
    </r>
    <r>
      <rPr>
        <b/>
        <sz val="11"/>
        <color rgb="FFFF0000"/>
        <rFont val="Calibri"/>
        <family val="2"/>
        <scheme val="minor"/>
      </rPr>
      <t>OR</t>
    </r>
    <r>
      <rPr>
        <b/>
        <sz val="11"/>
        <color rgb="FF002060"/>
        <rFont val="Calibri"/>
        <family val="2"/>
        <scheme val="minor"/>
      </rPr>
      <t xml:space="preserve">
</t>
    </r>
    <r>
      <rPr>
        <sz val="11"/>
        <color rgb="FF002060"/>
        <rFont val="Calibri"/>
        <family val="2"/>
        <scheme val="minor"/>
      </rPr>
      <t>Didn't use single-use items = 4 pts</t>
    </r>
  </si>
  <si>
    <r>
      <t xml:space="preserve">Sustainable cleaning = 4 pts
</t>
    </r>
    <r>
      <rPr>
        <b/>
        <sz val="11"/>
        <color rgb="FFFF0000"/>
        <rFont val="Calibri"/>
        <family val="2"/>
        <scheme val="minor"/>
      </rPr>
      <t>OR</t>
    </r>
    <r>
      <rPr>
        <sz val="11"/>
        <color rgb="FF002060"/>
        <rFont val="Calibri"/>
        <family val="2"/>
        <scheme val="minor"/>
      </rPr>
      <t xml:space="preserve">
No sustainable cleaning = 0 pts</t>
    </r>
  </si>
  <si>
    <r>
      <t xml:space="preserve">Shopped online = 0 pts
</t>
    </r>
    <r>
      <rPr>
        <b/>
        <sz val="11"/>
        <color rgb="FFFF0000"/>
        <rFont val="Calibri"/>
        <family val="2"/>
        <scheme val="minor"/>
      </rPr>
      <t>OR</t>
    </r>
    <r>
      <rPr>
        <b/>
        <sz val="11"/>
        <color rgb="FF002060"/>
        <rFont val="Calibri"/>
        <family val="2"/>
        <scheme val="minor"/>
      </rPr>
      <t xml:space="preserve">
</t>
    </r>
    <r>
      <rPr>
        <sz val="11"/>
        <color rgb="FF002060"/>
        <rFont val="Calibri"/>
        <family val="2"/>
        <scheme val="minor"/>
      </rPr>
      <t>No online shopping = 4 pts</t>
    </r>
  </si>
  <si>
    <r>
      <t xml:space="preserve">All the time = 4 pts
</t>
    </r>
    <r>
      <rPr>
        <b/>
        <sz val="11"/>
        <color rgb="FFFF0000"/>
        <rFont val="Calibri"/>
        <family val="2"/>
        <scheme val="minor"/>
      </rPr>
      <t>OR</t>
    </r>
    <r>
      <rPr>
        <sz val="11"/>
        <color rgb="FF002060"/>
        <rFont val="Calibri"/>
        <family val="2"/>
        <scheme val="minor"/>
      </rPr>
      <t xml:space="preserve">
Some of the time = 2 pts
</t>
    </r>
    <r>
      <rPr>
        <b/>
        <sz val="11"/>
        <color rgb="FFFF0000"/>
        <rFont val="Calibri"/>
        <family val="2"/>
        <scheme val="minor"/>
      </rPr>
      <t>OR</t>
    </r>
    <r>
      <rPr>
        <b/>
        <sz val="11"/>
        <color rgb="FF002060"/>
        <rFont val="Calibri"/>
        <family val="2"/>
        <scheme val="minor"/>
      </rPr>
      <t xml:space="preserve">
</t>
    </r>
    <r>
      <rPr>
        <sz val="11"/>
        <color rgb="FF002060"/>
        <rFont val="Calibri"/>
        <family val="2"/>
        <scheme val="minor"/>
      </rPr>
      <t>Always provided printed = 0 pts</t>
    </r>
  </si>
  <si>
    <r>
      <t xml:space="preserve">Water off = 4 pts
</t>
    </r>
    <r>
      <rPr>
        <b/>
        <sz val="11"/>
        <color rgb="FFFF0000"/>
        <rFont val="Calibri"/>
        <family val="2"/>
        <scheme val="minor"/>
      </rPr>
      <t>OR</t>
    </r>
    <r>
      <rPr>
        <sz val="11"/>
        <color rgb="FF002060"/>
        <rFont val="Calibri"/>
        <family val="2"/>
        <scheme val="minor"/>
      </rPr>
      <t xml:space="preserve">
Water on = 0 pts</t>
    </r>
  </si>
  <si>
    <t>DAILY SCORING - DAY 1</t>
  </si>
  <si>
    <t>General Action</t>
  </si>
  <si>
    <t>Sum of Daily Points</t>
  </si>
  <si>
    <t>Reduce energy use by unplugging electronics.</t>
  </si>
  <si>
    <t>Reduce energy use by turning off computer/monitor.</t>
  </si>
  <si>
    <t>Reduce energy use by closing the blinds.</t>
  </si>
  <si>
    <t>Reduce environmental impact of food choices with less meat, namely red meat.</t>
  </si>
  <si>
    <t>Avoid single-use materials and use reusable drink containers.</t>
  </si>
  <si>
    <t>Avoid single-use materials with less take-out, delivery, and/or fast food.</t>
  </si>
  <si>
    <t>Reduce environmental impact with more sustainable modes of transportation.</t>
  </si>
  <si>
    <t>Reduce environmental impact with more intentional travel plans.</t>
  </si>
  <si>
    <t>Reduce energy use and improve health by taking the stairs.</t>
  </si>
  <si>
    <t>Avoid single-use materials and use reusable options.</t>
  </si>
  <si>
    <t>Avoid single-use materials and reduce unnecessary consumption.</t>
  </si>
  <si>
    <t>Avoid single-use materials and use reusable bags.</t>
  </si>
  <si>
    <t>Reduce environmental impact by avoiding printing.</t>
  </si>
  <si>
    <t>Reduce water use when washing dishes.</t>
  </si>
  <si>
    <t>Reduce water use when bathing.</t>
  </si>
  <si>
    <t>Reduce water use when brushing teeth.</t>
  </si>
  <si>
    <t>Protect water quality through intentional management of icy sidewalks.</t>
  </si>
  <si>
    <r>
      <t xml:space="preserve">No remaining food = 4 pts
</t>
    </r>
    <r>
      <rPr>
        <b/>
        <sz val="11"/>
        <color rgb="FFFF0000"/>
        <rFont val="Calibri"/>
        <family val="2"/>
        <scheme val="minor"/>
      </rPr>
      <t>OR</t>
    </r>
    <r>
      <rPr>
        <sz val="11"/>
        <color rgb="FF002060"/>
        <rFont val="Calibri"/>
        <family val="2"/>
        <scheme val="minor"/>
      </rPr>
      <t xml:space="preserve">
Every meal with composted wasted food = -.5 pts (from available 4 pts)
</t>
    </r>
    <r>
      <rPr>
        <b/>
        <sz val="11"/>
        <color rgb="FFFF0000"/>
        <rFont val="Calibri"/>
        <family val="2"/>
        <scheme val="minor"/>
      </rPr>
      <t>OR</t>
    </r>
    <r>
      <rPr>
        <sz val="11"/>
        <color rgb="FF002060"/>
        <rFont val="Calibri"/>
        <family val="2"/>
        <scheme val="minor"/>
      </rPr>
      <t xml:space="preserve">
Every meal with trashed wasted food = -1 pt (from available 4 pts)</t>
    </r>
  </si>
  <si>
    <r>
      <t xml:space="preserve">Point Total 
</t>
    </r>
    <r>
      <rPr>
        <sz val="8"/>
        <color rgb="FF002060"/>
        <rFont val="Calibri"/>
        <family val="2"/>
        <scheme val="minor"/>
      </rPr>
      <t>(weighted by "Best," "Good," or "Helpful" action)</t>
    </r>
  </si>
  <si>
    <t>Weighted Available Points</t>
  </si>
  <si>
    <t>Available (unweighted)</t>
  </si>
  <si>
    <t>Available (weighted)</t>
  </si>
  <si>
    <t>Earned Total (unweighted)</t>
  </si>
  <si>
    <r>
      <t xml:space="preserve">Shut off computer/monitor = 2 pts
</t>
    </r>
    <r>
      <rPr>
        <b/>
        <sz val="11"/>
        <color rgb="FFFF0000"/>
        <rFont val="Calibri"/>
        <family val="2"/>
        <scheme val="minor"/>
      </rPr>
      <t>OR</t>
    </r>
    <r>
      <rPr>
        <sz val="11"/>
        <color rgb="FF002060"/>
        <rFont val="Calibri"/>
        <family val="2"/>
        <scheme val="minor"/>
      </rPr>
      <t xml:space="preserve">
Unsure </t>
    </r>
    <r>
      <rPr>
        <b/>
        <sz val="11"/>
        <color rgb="FF002060"/>
        <rFont val="Calibri"/>
        <family val="2"/>
        <scheme val="minor"/>
      </rPr>
      <t>OR</t>
    </r>
    <r>
      <rPr>
        <sz val="11"/>
        <color rgb="FF002060"/>
        <rFont val="Calibri"/>
        <family val="2"/>
        <scheme val="minor"/>
      </rPr>
      <t xml:space="preserve"> Didn't shut off computer/monitor = 0 pts
</t>
    </r>
    <r>
      <rPr>
        <b/>
        <sz val="11"/>
        <color theme="7"/>
        <rFont val="Calibri"/>
        <family val="2"/>
        <scheme val="minor"/>
      </rPr>
      <t>AND</t>
    </r>
    <r>
      <rPr>
        <sz val="11"/>
        <color rgb="FF002060"/>
        <rFont val="Calibri"/>
        <family val="2"/>
        <scheme val="minor"/>
      </rPr>
      <t xml:space="preserve">
Put computer to sleep when away = 2 pts
</t>
    </r>
    <r>
      <rPr>
        <b/>
        <sz val="11"/>
        <color rgb="FFFF0000"/>
        <rFont val="Calibri"/>
        <family val="2"/>
        <scheme val="minor"/>
      </rPr>
      <t>OR</t>
    </r>
    <r>
      <rPr>
        <sz val="11"/>
        <color rgb="FF002060"/>
        <rFont val="Calibri"/>
        <family val="2"/>
        <scheme val="minor"/>
      </rPr>
      <t xml:space="preserve">
Put computer to sleep some of the time = 1 pt
</t>
    </r>
    <r>
      <rPr>
        <b/>
        <sz val="11"/>
        <color rgb="FFFF0000"/>
        <rFont val="Calibri"/>
        <family val="2"/>
        <scheme val="minor"/>
      </rPr>
      <t>OR</t>
    </r>
    <r>
      <rPr>
        <b/>
        <sz val="11"/>
        <color rgb="FF002060"/>
        <rFont val="Calibri"/>
        <family val="2"/>
        <scheme val="minor"/>
      </rPr>
      <t xml:space="preserve">
</t>
    </r>
    <r>
      <rPr>
        <sz val="11"/>
        <color rgb="FF002060"/>
        <rFont val="Calibri"/>
        <family val="2"/>
        <scheme val="minor"/>
      </rPr>
      <t>Didn't put computer to sleep = 0 pts</t>
    </r>
  </si>
  <si>
    <r>
      <t xml:space="preserve">Multiple single-use = 0 pts
</t>
    </r>
    <r>
      <rPr>
        <b/>
        <sz val="11"/>
        <color rgb="FFFF0000"/>
        <rFont val="Calibri"/>
        <family val="2"/>
        <scheme val="minor"/>
      </rPr>
      <t>OR</t>
    </r>
    <r>
      <rPr>
        <sz val="11"/>
        <color rgb="FF002060"/>
        <rFont val="Calibri"/>
        <family val="2"/>
        <scheme val="minor"/>
      </rPr>
      <t xml:space="preserve">
One single-use = 1 pt
</t>
    </r>
    <r>
      <rPr>
        <b/>
        <sz val="11"/>
        <color rgb="FFFF0000"/>
        <rFont val="Calibri"/>
        <family val="2"/>
        <scheme val="minor"/>
      </rPr>
      <t>OR</t>
    </r>
    <r>
      <rPr>
        <sz val="11"/>
        <color rgb="FF002060"/>
        <rFont val="Calibri"/>
        <family val="2"/>
        <scheme val="minor"/>
      </rPr>
      <t xml:space="preserve">
Electric hand dryer = 2 pts
</t>
    </r>
    <r>
      <rPr>
        <b/>
        <sz val="11"/>
        <color rgb="FFFF0000"/>
        <rFont val="Calibri"/>
        <family val="2"/>
        <scheme val="minor"/>
      </rPr>
      <t>OR</t>
    </r>
    <r>
      <rPr>
        <sz val="11"/>
        <color rgb="FF002060"/>
        <rFont val="Calibri"/>
        <family val="2"/>
        <scheme val="minor"/>
      </rPr>
      <t xml:space="preserve">
Reusable cloth towel = 3 pts
</t>
    </r>
    <r>
      <rPr>
        <b/>
        <sz val="11"/>
        <color rgb="FFFF0000"/>
        <rFont val="Calibri"/>
        <family val="2"/>
        <scheme val="minor"/>
      </rPr>
      <t>OR</t>
    </r>
    <r>
      <rPr>
        <sz val="11"/>
        <color rgb="FF002060"/>
        <rFont val="Calibri"/>
        <family val="2"/>
        <scheme val="minor"/>
      </rPr>
      <t xml:space="preserve">
Air dry/Shake it off = 4 pts</t>
    </r>
  </si>
  <si>
    <r>
      <t xml:space="preserve">No Bathing = 4 pts
</t>
    </r>
    <r>
      <rPr>
        <b/>
        <sz val="11"/>
        <color rgb="FFFF0000"/>
        <rFont val="Calibri"/>
        <family val="2"/>
        <scheme val="minor"/>
      </rPr>
      <t>OR</t>
    </r>
    <r>
      <rPr>
        <sz val="11"/>
        <color rgb="FF002060"/>
        <rFont val="Calibri"/>
        <family val="2"/>
        <scheme val="minor"/>
      </rPr>
      <t xml:space="preserve">
Bath = 1 pt
</t>
    </r>
    <r>
      <rPr>
        <b/>
        <sz val="11"/>
        <color rgb="FFFF0000"/>
        <rFont val="Calibri"/>
        <family val="2"/>
        <scheme val="minor"/>
      </rPr>
      <t>OR</t>
    </r>
    <r>
      <rPr>
        <sz val="11"/>
        <color rgb="FF002060"/>
        <rFont val="Calibri"/>
        <family val="2"/>
        <scheme val="minor"/>
      </rPr>
      <t xml:space="preserve">
Shower = 2 pts
</t>
    </r>
    <r>
      <rPr>
        <b/>
        <sz val="11"/>
        <color theme="7"/>
        <rFont val="Calibri"/>
        <family val="2"/>
        <scheme val="minor"/>
      </rPr>
      <t>AND</t>
    </r>
    <r>
      <rPr>
        <sz val="11"/>
        <color rgb="FF002060"/>
        <rFont val="Calibri"/>
        <family val="2"/>
        <scheme val="minor"/>
      </rPr>
      <t xml:space="preserve">
Less than five min = +.5 pt
</t>
    </r>
    <r>
      <rPr>
        <b/>
        <sz val="11"/>
        <color rgb="FFFF0000"/>
        <rFont val="Calibri"/>
        <family val="2"/>
        <scheme val="minor"/>
      </rPr>
      <t>OR</t>
    </r>
    <r>
      <rPr>
        <sz val="11"/>
        <color rgb="FF002060"/>
        <rFont val="Calibri"/>
        <family val="2"/>
        <scheme val="minor"/>
      </rPr>
      <t xml:space="preserve">
Water off while lathering/shaving = +.5 pt</t>
    </r>
  </si>
  <si>
    <t>Did you maintain icy sidewalks or driveways today?
What management style did you use primarily?
- Plow, shovel, scrape
- Reusable abrasives for traction (e.g. sand)
- Deicers
- Deicers, adhering to rules for the correct amount, distribution, and temperature</t>
  </si>
  <si>
    <r>
      <t xml:space="preserve">No maintenance </t>
    </r>
    <r>
      <rPr>
        <b/>
        <sz val="11"/>
        <color rgb="FF002060"/>
        <rFont val="Calibri"/>
        <family val="2"/>
        <scheme val="minor"/>
      </rPr>
      <t xml:space="preserve">OR </t>
    </r>
    <r>
      <rPr>
        <sz val="11"/>
        <color rgb="FF002060"/>
        <rFont val="Calibri"/>
        <family val="2"/>
        <scheme val="minor"/>
      </rPr>
      <t xml:space="preserve">Plow, shovel, scrape = 4 pts
</t>
    </r>
    <r>
      <rPr>
        <b/>
        <sz val="11"/>
        <color rgb="FFFF0000"/>
        <rFont val="Calibri"/>
        <family val="2"/>
        <scheme val="minor"/>
      </rPr>
      <t>OR</t>
    </r>
    <r>
      <rPr>
        <sz val="11"/>
        <color rgb="FF002060"/>
        <rFont val="Calibri"/>
        <family val="2"/>
        <scheme val="minor"/>
      </rPr>
      <t xml:space="preserve">
Reusable abrasives = 3 pts
</t>
    </r>
    <r>
      <rPr>
        <b/>
        <sz val="11"/>
        <color rgb="FFFF0000"/>
        <rFont val="Calibri"/>
        <family val="2"/>
        <scheme val="minor"/>
      </rPr>
      <t>OR</t>
    </r>
    <r>
      <rPr>
        <b/>
        <sz val="11"/>
        <color rgb="FF002060"/>
        <rFont val="Calibri"/>
        <family val="2"/>
        <scheme val="minor"/>
      </rPr>
      <t xml:space="preserve">
</t>
    </r>
    <r>
      <rPr>
        <sz val="11"/>
        <color rgb="FF002060"/>
        <rFont val="Calibri"/>
        <family val="2"/>
        <scheme val="minor"/>
      </rPr>
      <t xml:space="preserve">Deicers, adhering to rules = 2 pts
</t>
    </r>
    <r>
      <rPr>
        <b/>
        <sz val="11"/>
        <color rgb="FFFF0000"/>
        <rFont val="Calibri"/>
        <family val="2"/>
        <scheme val="minor"/>
      </rPr>
      <t>OR</t>
    </r>
    <r>
      <rPr>
        <sz val="11"/>
        <color rgb="FF002060"/>
        <rFont val="Calibri"/>
        <family val="2"/>
        <scheme val="minor"/>
      </rPr>
      <t xml:space="preserve">
Deicers = 0 pts</t>
    </r>
  </si>
  <si>
    <t>Earned Total 
(weighted)</t>
  </si>
  <si>
    <t>Carbon Offsets</t>
  </si>
  <si>
    <t>Alternative Energy</t>
  </si>
  <si>
    <t>https://mn.gov/commerce/consumers/your-home/energy-info/efficiency/</t>
  </si>
  <si>
    <t>Home Performance</t>
  </si>
  <si>
    <t>Have you assessed your house and/or taken actions to improve your home's energy efficiency and performance?</t>
  </si>
  <si>
    <t>Washing Clothes</t>
  </si>
  <si>
    <t>If you're worried about dressing ethically, you should think about how often you wash/dry your clothes as it is one of the greatest impacts of your clothing in its life cycle.
https://www.1millionwomen.com.au/blog/dirt-clothes-why-washing-less-more-sustainable/</t>
  </si>
  <si>
    <r>
      <t xml:space="preserve">Leader with the smallest footprint earns the most points
</t>
    </r>
    <r>
      <rPr>
        <sz val="9"/>
        <color rgb="FF002060"/>
        <rFont val="Calibri"/>
        <family val="2"/>
        <scheme val="minor"/>
      </rPr>
      <t>(smallest = 15 pts, 2nd smallest = 14 pts, 3rd smallest = 13 pts, etc.)</t>
    </r>
  </si>
  <si>
    <r>
      <t xml:space="preserve">No meat = 4 pts
</t>
    </r>
    <r>
      <rPr>
        <b/>
        <sz val="11"/>
        <color rgb="FFFF0000"/>
        <rFont val="Calibri"/>
        <family val="2"/>
        <scheme val="minor"/>
      </rPr>
      <t>OR</t>
    </r>
    <r>
      <rPr>
        <sz val="11"/>
        <color rgb="FF002060"/>
        <rFont val="Calibri"/>
        <family val="2"/>
        <scheme val="minor"/>
      </rPr>
      <t xml:space="preserve">
Red meat = 0 pts
</t>
    </r>
    <r>
      <rPr>
        <b/>
        <sz val="11"/>
        <color rgb="FFFF0000"/>
        <rFont val="Calibri"/>
        <family val="2"/>
        <scheme val="minor"/>
      </rPr>
      <t>OR</t>
    </r>
    <r>
      <rPr>
        <sz val="11"/>
        <color rgb="FF002060"/>
        <rFont val="Calibri"/>
        <family val="2"/>
        <scheme val="minor"/>
      </rPr>
      <t xml:space="preserve">
White meant </t>
    </r>
    <r>
      <rPr>
        <b/>
        <sz val="11"/>
        <color rgb="FF002060"/>
        <rFont val="Calibri"/>
        <family val="2"/>
        <scheme val="minor"/>
      </rPr>
      <t>OR</t>
    </r>
    <r>
      <rPr>
        <sz val="11"/>
        <color rgb="FF002060"/>
        <rFont val="Calibri"/>
        <family val="2"/>
        <scheme val="minor"/>
      </rPr>
      <t xml:space="preserve"> Fish/seafood = 1 pt
</t>
    </r>
    <r>
      <rPr>
        <b/>
        <sz val="11"/>
        <color theme="7"/>
        <rFont val="Calibri"/>
        <family val="2"/>
        <scheme val="minor"/>
      </rPr>
      <t>AND</t>
    </r>
    <r>
      <rPr>
        <sz val="11"/>
        <color rgb="FF002060"/>
        <rFont val="Calibri"/>
        <family val="2"/>
        <scheme val="minor"/>
      </rPr>
      <t xml:space="preserve">
Local/Organic = +1 pt
No </t>
    </r>
    <r>
      <rPr>
        <b/>
        <sz val="11"/>
        <color rgb="FF002060"/>
        <rFont val="Calibri"/>
        <family val="2"/>
        <scheme val="minor"/>
      </rPr>
      <t>OR</t>
    </r>
    <r>
      <rPr>
        <sz val="11"/>
        <color rgb="FF002060"/>
        <rFont val="Calibri"/>
        <family val="2"/>
        <scheme val="minor"/>
      </rPr>
      <t xml:space="preserve"> Unsure = 0 pts</t>
    </r>
  </si>
  <si>
    <t>Were the majority of your beverages (coffee, water, soda, etc.) today served in:
- a reusable container
- a single-use container (compostable, recyclable, styrofoam, etc.)</t>
  </si>
  <si>
    <r>
      <t xml:space="preserve">Reusable = 4 pts
</t>
    </r>
    <r>
      <rPr>
        <b/>
        <sz val="11"/>
        <color rgb="FFFF0000"/>
        <rFont val="Calibri"/>
        <family val="2"/>
        <scheme val="minor"/>
      </rPr>
      <t>OR</t>
    </r>
    <r>
      <rPr>
        <sz val="11"/>
        <color rgb="FF002060"/>
        <rFont val="Calibri"/>
        <family val="2"/>
        <scheme val="minor"/>
      </rPr>
      <t xml:space="preserve">
Single-use (compostable, non-compostable, styrofoam) cup = 0 pts
 </t>
    </r>
  </si>
  <si>
    <t>Did you order food today as take-out, delivery, or fast food?</t>
  </si>
  <si>
    <r>
      <t xml:space="preserve">No shopping = 4 pts
</t>
    </r>
    <r>
      <rPr>
        <b/>
        <sz val="11"/>
        <color rgb="FFFF0000"/>
        <rFont val="Calibri"/>
        <family val="2"/>
        <scheme val="minor"/>
      </rPr>
      <t>OR</t>
    </r>
    <r>
      <rPr>
        <sz val="11"/>
        <color rgb="FF002060"/>
        <rFont val="Calibri"/>
        <family val="2"/>
        <scheme val="minor"/>
      </rPr>
      <t xml:space="preserve">
No bags </t>
    </r>
    <r>
      <rPr>
        <b/>
        <sz val="11"/>
        <color rgb="FF002060"/>
        <rFont val="Calibri"/>
        <family val="2"/>
        <scheme val="minor"/>
      </rPr>
      <t>OR</t>
    </r>
    <r>
      <rPr>
        <sz val="11"/>
        <color rgb="FF002060"/>
        <rFont val="Calibri"/>
        <family val="2"/>
        <scheme val="minor"/>
      </rPr>
      <t xml:space="preserve"> Reusable bags = 4 pts
</t>
    </r>
    <r>
      <rPr>
        <b/>
        <sz val="11"/>
        <color rgb="FFFF0000"/>
        <rFont val="Calibri"/>
        <family val="2"/>
        <scheme val="minor"/>
      </rPr>
      <t>OR</t>
    </r>
    <r>
      <rPr>
        <sz val="11"/>
        <color rgb="FF002060"/>
        <rFont val="Calibri"/>
        <family val="2"/>
        <scheme val="minor"/>
      </rPr>
      <t xml:space="preserve">
Plastic/paper bags = 0 pts</t>
    </r>
  </si>
  <si>
    <t>When washing dishes today, did you primarily wash using:
- A dishwasher
- Pre-rinse and then a dishwasher
- Hand washing in hot water
- Hand washing in cold water</t>
  </si>
  <si>
    <r>
      <t xml:space="preserve">Dishwasher = 4 pts
</t>
    </r>
    <r>
      <rPr>
        <b/>
        <sz val="11"/>
        <color rgb="FFFF0000"/>
        <rFont val="Calibri"/>
        <family val="2"/>
        <scheme val="minor"/>
      </rPr>
      <t>OR</t>
    </r>
    <r>
      <rPr>
        <sz val="11"/>
        <color rgb="FF002060"/>
        <rFont val="Calibri"/>
        <family val="2"/>
        <scheme val="minor"/>
      </rPr>
      <t xml:space="preserve">
Pre-rinse and dishwasher = 0 pts
</t>
    </r>
    <r>
      <rPr>
        <b/>
        <sz val="11"/>
        <color rgb="FFFF0000"/>
        <rFont val="Calibri"/>
        <family val="2"/>
        <scheme val="minor"/>
      </rPr>
      <t>OR</t>
    </r>
    <r>
      <rPr>
        <sz val="11"/>
        <color rgb="FF002060"/>
        <rFont val="Calibri"/>
        <family val="2"/>
        <scheme val="minor"/>
      </rPr>
      <t xml:space="preserve">
Hand wash in hot = 1 pts
</t>
    </r>
    <r>
      <rPr>
        <b/>
        <sz val="11"/>
        <color rgb="FFFF0000"/>
        <rFont val="Calibri"/>
        <family val="2"/>
        <scheme val="minor"/>
      </rPr>
      <t>OR</t>
    </r>
    <r>
      <rPr>
        <sz val="11"/>
        <color rgb="FF002060"/>
        <rFont val="Calibri"/>
        <family val="2"/>
        <scheme val="minor"/>
      </rPr>
      <t xml:space="preserve">
Hand wash in cold = 2 pts</t>
    </r>
  </si>
  <si>
    <t>Conference Rooms</t>
  </si>
  <si>
    <t>Did you make sure that computers, projectors, and lights were shut off in meetings rooms at the end of a meeting to conserve energy during the challenge?</t>
  </si>
  <si>
    <t>https://lorax.pca.state.mn.us/green-meetings</t>
  </si>
  <si>
    <t>Did you use zero emissions transportation modes every day of the challenge (i.e. walk to a meeting outside of the PCA, use an electric vehicle, video conference instead of travel)?</t>
  </si>
  <si>
    <t>Have you purchased carbon offsets for any flights taken in the last year?</t>
  </si>
  <si>
    <t>https://www.nytimes.com/2019/07/24/climate/nyt-climate-newsletter-carbon-offsets.html</t>
  </si>
  <si>
    <t>Have you purchased secondhand clothing instead of new clothes when shopping in the last 3 months?</t>
  </si>
  <si>
    <t>Do you wear your clothes multiple times before washing them?</t>
  </si>
  <si>
    <t>Does your home have solar panels, do you purchase community solar shares, or are you enrolled in WindSource?</t>
  </si>
  <si>
    <t>https://mn.gov/commerce/consumers/your-home/energy-info/solar/
https://www.cleanenergyresourceteams.org/solargardens
https://www.xcelenergy.com/programs_and_rebates/residential_programs_and_rebates/renewable_energy_options_residential/windsource_for_residences</t>
  </si>
  <si>
    <t>Action Type</t>
  </si>
  <si>
    <t>Enviro. Benefit</t>
  </si>
  <si>
    <t>8 pts = 100% accuracy
5 pts = 75% accuracy
2 pts = 50% accuracy
0pts = 50% accuracy</t>
  </si>
  <si>
    <t>Avoid single-use materials by avoiding paper towels.</t>
  </si>
  <si>
    <t>Reduce toxics exposure and avoid single-use cleaning materials.</t>
  </si>
  <si>
    <t>Reduce environmental impact of food system with less wasted food.</t>
  </si>
  <si>
    <t>DAILY SCORING - DAY 2</t>
  </si>
  <si>
    <t>DAILY SCORING - DAY 3</t>
  </si>
  <si>
    <t>DAILY SCORING - DAY 4</t>
  </si>
  <si>
    <t>DAILY SCORING - DAY 5</t>
  </si>
  <si>
    <t>DAILY SCORING - DAY 6</t>
  </si>
  <si>
    <t>DAILY SCORING - DAY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</si>
</sst>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b/>
      <sz val="11"/>
      <color theme="0"/>
      <name val="Calibri"/>
      <family val="2"/>
      <scheme val="minor"/>
    </font>
    <font>
      <sz val="11"/>
      <color theme="0"/>
      <name val="Calibri"/>
      <family val="2"/>
      <scheme val="minor"/>
    </font>
    <font>
      <b/>
      <sz val="11"/>
      <color rgb="FF002060"/>
      <name val="Calibri"/>
      <family val="2"/>
      <scheme val="minor"/>
    </font>
    <font>
      <sz val="11"/>
      <color rgb="FF002060"/>
      <name val="Calibri"/>
      <family val="2"/>
      <scheme val="minor"/>
    </font>
    <font>
      <sz val="9"/>
      <color rgb="FF002060"/>
      <name val="Calibri"/>
      <family val="2"/>
      <scheme val="minor"/>
    </font>
    <font>
      <b/>
      <sz val="16"/>
      <color theme="0"/>
      <name val="Calibri"/>
      <family val="2"/>
      <scheme val="minor"/>
    </font>
    <font>
      <sz val="48"/>
      <color rgb="FF002060"/>
      <name val="Calibri"/>
      <family val="2"/>
      <scheme val="minor"/>
    </font>
    <font>
      <sz val="38"/>
      <color rgb="FF002060"/>
      <name val="Calibri"/>
      <family val="2"/>
      <scheme val="minor"/>
    </font>
    <font>
      <b/>
      <sz val="9"/>
      <color rgb="FF002060"/>
      <name val="Calibri"/>
      <family val="2"/>
      <scheme val="minor"/>
    </font>
    <font>
      <b/>
      <sz val="11"/>
      <color rgb="FFFF0000"/>
      <name val="Calibri"/>
      <family val="2"/>
      <scheme val="minor"/>
    </font>
    <font>
      <b/>
      <sz val="11"/>
      <color theme="7"/>
      <name val="Calibri"/>
      <family val="2"/>
      <scheme val="minor"/>
    </font>
    <font>
      <sz val="8"/>
      <color rgb="FF002060"/>
      <name val="Calibri"/>
      <family val="2"/>
      <scheme val="minor"/>
    </font>
    <font>
      <b/>
      <sz val="12"/>
      <color theme="0"/>
      <name val="Calibri"/>
      <family val="2"/>
      <scheme val="minor"/>
    </font>
    <font>
      <b/>
      <sz val="11"/>
      <color theme="3"/>
      <name val="Calibri"/>
      <family val="2"/>
      <scheme val="minor"/>
    </font>
  </fonts>
  <fills count="9">
    <fill>
      <patternFill patternType="none"/>
    </fill>
    <fill>
      <patternFill patternType="gray125"/>
    </fill>
    <fill>
      <patternFill patternType="solid">
        <fgColor theme="1" tint="0.49998474074526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rgb="FF00206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6">
    <xf numFmtId="0" fontId="0" fillId="0" borderId="0" xfId="0"/>
    <xf numFmtId="0" fontId="0" fillId="8" borderId="0" xfId="0" applyFill="1"/>
    <xf numFmtId="0" fontId="2" fillId="8" borderId="0" xfId="0" applyFont="1" applyFill="1"/>
    <xf numFmtId="0" fontId="1" fillId="8" borderId="0" xfId="0" applyFont="1" applyFill="1" applyAlignment="1"/>
    <xf numFmtId="0" fontId="6" fillId="8" borderId="0" xfId="0" applyFont="1" applyFill="1" applyAlignment="1">
      <alignment horizontal="right"/>
    </xf>
    <xf numFmtId="0" fontId="6" fillId="8" borderId="0" xfId="0" applyFont="1" applyFill="1" applyAlignment="1">
      <alignment horizontal="center"/>
    </xf>
    <xf numFmtId="0" fontId="4" fillId="0" borderId="1" xfId="0" applyFont="1" applyBorder="1" applyAlignment="1">
      <alignment horizontal="center" vertical="top"/>
    </xf>
    <xf numFmtId="0" fontId="4" fillId="2" borderId="1" xfId="0" applyFont="1" applyFill="1" applyBorder="1" applyAlignment="1">
      <alignment horizontal="center" vertical="top"/>
    </xf>
    <xf numFmtId="0" fontId="4" fillId="0" borderId="1" xfId="0" applyFont="1" applyBorder="1" applyAlignment="1">
      <alignment vertical="top" wrapText="1"/>
    </xf>
    <xf numFmtId="0" fontId="5" fillId="0" borderId="1" xfId="0" applyFont="1" applyBorder="1" applyAlignment="1">
      <alignment horizontal="left" vertical="top" wrapText="1"/>
    </xf>
    <xf numFmtId="0" fontId="4" fillId="3" borderId="1" xfId="0" applyFont="1" applyFill="1" applyBorder="1" applyAlignment="1">
      <alignment horizontal="center" vertical="top"/>
    </xf>
    <xf numFmtId="0" fontId="4" fillId="4" borderId="1" xfId="0" applyFont="1" applyFill="1" applyBorder="1" applyAlignment="1">
      <alignment horizontal="center" vertical="top"/>
    </xf>
    <xf numFmtId="0" fontId="4" fillId="5" borderId="1" xfId="0" applyFont="1" applyFill="1" applyBorder="1" applyAlignment="1">
      <alignment horizontal="center" vertical="top"/>
    </xf>
    <xf numFmtId="0" fontId="4" fillId="6" borderId="1" xfId="0" applyFont="1" applyFill="1" applyBorder="1" applyAlignment="1">
      <alignment horizontal="center" vertical="top"/>
    </xf>
    <xf numFmtId="0" fontId="0" fillId="7" borderId="2" xfId="0" applyFill="1" applyBorder="1" applyAlignment="1"/>
    <xf numFmtId="0" fontId="0" fillId="7" borderId="3" xfId="0" applyFill="1" applyBorder="1" applyAlignment="1"/>
    <xf numFmtId="0" fontId="0" fillId="8" borderId="0" xfId="0" applyFill="1" applyBorder="1"/>
    <xf numFmtId="0" fontId="0" fillId="8" borderId="6" xfId="0" applyFill="1" applyBorder="1"/>
    <xf numFmtId="0" fontId="3" fillId="7" borderId="7" xfId="0" applyFont="1" applyFill="1" applyBorder="1" applyAlignment="1">
      <alignment horizontal="center" vertical="center" wrapText="1"/>
    </xf>
    <xf numFmtId="49" fontId="2" fillId="8" borderId="0" xfId="0" applyNumberFormat="1" applyFont="1" applyFill="1" applyBorder="1"/>
    <xf numFmtId="0" fontId="4" fillId="0" borderId="1" xfId="0" applyFont="1" applyBorder="1" applyAlignment="1">
      <alignment horizontal="center" vertical="top" wrapText="1"/>
    </xf>
    <xf numFmtId="0" fontId="3" fillId="7" borderId="8" xfId="0" applyFont="1" applyFill="1" applyBorder="1" applyAlignment="1">
      <alignment horizontal="center" vertical="center" wrapText="1"/>
    </xf>
    <xf numFmtId="0" fontId="4" fillId="0" borderId="1" xfId="0" applyFont="1" applyFill="1" applyBorder="1" applyAlignment="1">
      <alignment horizontal="center" vertical="top" wrapText="1"/>
    </xf>
    <xf numFmtId="0" fontId="4" fillId="0" borderId="1" xfId="0" applyFont="1" applyFill="1" applyBorder="1" applyAlignment="1">
      <alignment vertical="top" wrapText="1"/>
    </xf>
    <xf numFmtId="0" fontId="5" fillId="0" borderId="1" xfId="0" applyFont="1" applyFill="1" applyBorder="1" applyAlignment="1">
      <alignment horizontal="left" vertical="top" wrapText="1"/>
    </xf>
    <xf numFmtId="0" fontId="3" fillId="7" borderId="8" xfId="0" applyFont="1" applyFill="1" applyBorder="1" applyAlignment="1">
      <alignment horizontal="center" vertical="center" wrapText="1"/>
    </xf>
    <xf numFmtId="0" fontId="3" fillId="7" borderId="9" xfId="0" applyFont="1" applyFill="1" applyBorder="1" applyAlignment="1">
      <alignment horizontal="center" vertical="center" wrapText="1"/>
    </xf>
    <xf numFmtId="0" fontId="4" fillId="0" borderId="1" xfId="0" quotePrefix="1" applyFont="1" applyBorder="1" applyAlignment="1">
      <alignment horizontal="center" vertical="top" wrapText="1"/>
    </xf>
    <xf numFmtId="0" fontId="1" fillId="8" borderId="5" xfId="0" applyFont="1" applyFill="1" applyBorder="1" applyAlignment="1">
      <alignment horizontal="right"/>
    </xf>
    <xf numFmtId="0" fontId="1" fillId="8" borderId="0" xfId="0" applyFont="1" applyFill="1" applyBorder="1" applyAlignment="1">
      <alignment horizontal="right"/>
    </xf>
    <xf numFmtId="0" fontId="8" fillId="7" borderId="3" xfId="0" applyFont="1" applyFill="1" applyBorder="1" applyAlignment="1">
      <alignment horizontal="center" vertical="center"/>
    </xf>
    <xf numFmtId="0" fontId="8" fillId="7" borderId="4" xfId="0" applyFont="1" applyFill="1" applyBorder="1" applyAlignment="1">
      <alignment horizontal="center" vertical="center"/>
    </xf>
    <xf numFmtId="0" fontId="4" fillId="0" borderId="1" xfId="0" applyFont="1" applyBorder="1" applyAlignment="1">
      <alignment horizontal="left" vertical="top" wrapText="1"/>
    </xf>
    <xf numFmtId="0" fontId="5" fillId="0" borderId="10" xfId="0" applyFont="1" applyBorder="1" applyAlignment="1">
      <alignment horizontal="left" vertical="top" wrapText="1"/>
    </xf>
    <xf numFmtId="0" fontId="5" fillId="0" borderId="12" xfId="0" applyFont="1" applyBorder="1" applyAlignment="1">
      <alignment horizontal="left" vertical="top" wrapText="1"/>
    </xf>
    <xf numFmtId="0" fontId="5" fillId="0" borderId="11" xfId="0" applyFont="1" applyBorder="1" applyAlignment="1">
      <alignment horizontal="left" vertical="top" wrapText="1"/>
    </xf>
    <xf numFmtId="0" fontId="4" fillId="0" borderId="1" xfId="0" applyFont="1" applyFill="1" applyBorder="1" applyAlignment="1">
      <alignment horizontal="left" vertical="top" wrapText="1"/>
    </xf>
    <xf numFmtId="0" fontId="5" fillId="0" borderId="10" xfId="0" applyFont="1" applyFill="1" applyBorder="1" applyAlignment="1">
      <alignment horizontal="left" vertical="top" wrapText="1"/>
    </xf>
    <xf numFmtId="0" fontId="5" fillId="0" borderId="12" xfId="0" applyFont="1" applyFill="1" applyBorder="1" applyAlignment="1">
      <alignment horizontal="left" vertical="top" wrapText="1"/>
    </xf>
    <xf numFmtId="0" fontId="5" fillId="0" borderId="11" xfId="0" applyFont="1" applyFill="1" applyBorder="1" applyAlignment="1">
      <alignment horizontal="left" vertical="top" wrapText="1"/>
    </xf>
    <xf numFmtId="0" fontId="7" fillId="7" borderId="3" xfId="0" applyFont="1" applyFill="1" applyBorder="1" applyAlignment="1">
      <alignment horizontal="center" vertical="center"/>
    </xf>
    <xf numFmtId="0" fontId="7" fillId="7" borderId="4" xfId="0" applyFont="1" applyFill="1" applyBorder="1" applyAlignment="1">
      <alignment horizontal="center" vertical="center"/>
    </xf>
    <xf numFmtId="0" fontId="3" fillId="7" borderId="8" xfId="0" applyFont="1" applyFill="1" applyBorder="1" applyAlignment="1">
      <alignment horizontal="center" vertical="center" wrapText="1"/>
    </xf>
    <xf numFmtId="0" fontId="3" fillId="7" borderId="9" xfId="0" applyFont="1" applyFill="1" applyBorder="1" applyAlignment="1">
      <alignment horizontal="center" vertical="center" wrapText="1"/>
    </xf>
    <xf numFmtId="0" fontId="4" fillId="6" borderId="1" xfId="0" applyFont="1" applyFill="1" applyBorder="1" applyAlignment="1" applyProtection="1">
      <alignment horizontal="center" vertical="top" wrapText="1"/>
      <protection locked="0"/>
    </xf>
    <xf numFmtId="0" fontId="0" fillId="7" borderId="2" xfId="0" applyFill="1" applyBorder="1" applyAlignment="1" applyProtection="1"/>
    <xf numFmtId="0" fontId="0" fillId="7" borderId="3" xfId="0" applyFill="1" applyBorder="1" applyAlignment="1" applyProtection="1"/>
    <xf numFmtId="0" fontId="8" fillId="7" borderId="3" xfId="0" applyFont="1" applyFill="1" applyBorder="1" applyAlignment="1" applyProtection="1">
      <alignment horizontal="center" vertical="center"/>
    </xf>
    <xf numFmtId="0" fontId="8" fillId="7" borderId="4" xfId="0" applyFont="1" applyFill="1" applyBorder="1" applyAlignment="1" applyProtection="1">
      <alignment horizontal="center" vertical="center"/>
    </xf>
    <xf numFmtId="0" fontId="1" fillId="8" borderId="5" xfId="0" applyFont="1" applyFill="1" applyBorder="1" applyAlignment="1" applyProtection="1">
      <alignment horizontal="right"/>
    </xf>
    <xf numFmtId="0" fontId="1" fillId="8" borderId="0" xfId="0" applyFont="1" applyFill="1" applyBorder="1" applyAlignment="1" applyProtection="1">
      <alignment horizontal="right"/>
    </xf>
    <xf numFmtId="49" fontId="2" fillId="8" borderId="0" xfId="0" applyNumberFormat="1" applyFont="1" applyFill="1" applyBorder="1" applyAlignment="1" applyProtection="1">
      <alignment horizontal="left"/>
    </xf>
    <xf numFmtId="0" fontId="0" fillId="8" borderId="0" xfId="0" applyFill="1" applyBorder="1" applyProtection="1"/>
    <xf numFmtId="0" fontId="0" fillId="8" borderId="6" xfId="0" applyFill="1" applyBorder="1" applyProtection="1"/>
    <xf numFmtId="0" fontId="3" fillId="7" borderId="7" xfId="0" applyFont="1" applyFill="1" applyBorder="1" applyAlignment="1" applyProtection="1">
      <alignment horizontal="center" vertical="center" wrapText="1"/>
    </xf>
    <xf numFmtId="0" fontId="3" fillId="7" borderId="8" xfId="0" applyFont="1" applyFill="1" applyBorder="1" applyAlignment="1" applyProtection="1">
      <alignment horizontal="center" vertical="center" wrapText="1"/>
    </xf>
    <xf numFmtId="0" fontId="3" fillId="7" borderId="9" xfId="0" applyFont="1" applyFill="1" applyBorder="1" applyAlignment="1" applyProtection="1">
      <alignment horizontal="center" vertical="center" wrapText="1"/>
    </xf>
    <xf numFmtId="0" fontId="10" fillId="0" borderId="1" xfId="0" applyFont="1" applyBorder="1" applyAlignment="1" applyProtection="1">
      <alignment horizontal="center" vertical="top"/>
    </xf>
    <xf numFmtId="0" fontId="4" fillId="3" borderId="1" xfId="0" applyFont="1" applyFill="1" applyBorder="1" applyAlignment="1" applyProtection="1">
      <alignment horizontal="center" vertical="top"/>
    </xf>
    <xf numFmtId="0" fontId="4" fillId="0" borderId="1" xfId="0" applyFont="1" applyBorder="1" applyAlignment="1" applyProtection="1">
      <alignment horizontal="center" vertical="top" wrapText="1"/>
    </xf>
    <xf numFmtId="0" fontId="4" fillId="0" borderId="1" xfId="0" applyFont="1" applyBorder="1" applyAlignment="1" applyProtection="1">
      <alignment vertical="top" wrapText="1"/>
    </xf>
    <xf numFmtId="0" fontId="5" fillId="0" borderId="1" xfId="0" applyFont="1" applyBorder="1" applyAlignment="1" applyProtection="1">
      <alignment horizontal="left" vertical="top" wrapText="1"/>
    </xf>
    <xf numFmtId="0" fontId="4" fillId="4" borderId="1" xfId="0" applyFont="1" applyFill="1" applyBorder="1" applyAlignment="1" applyProtection="1">
      <alignment horizontal="center" vertical="top"/>
    </xf>
    <xf numFmtId="0" fontId="4" fillId="5" borderId="1" xfId="0" applyFont="1" applyFill="1" applyBorder="1" applyAlignment="1" applyProtection="1">
      <alignment horizontal="center" vertical="top"/>
    </xf>
    <xf numFmtId="0" fontId="4" fillId="0" borderId="1" xfId="0" applyFont="1" applyFill="1" applyBorder="1" applyAlignment="1" applyProtection="1">
      <alignment horizontal="center" vertical="top" wrapText="1"/>
    </xf>
    <xf numFmtId="0" fontId="4" fillId="0" borderId="1" xfId="0" applyFont="1" applyFill="1" applyBorder="1" applyAlignment="1" applyProtection="1">
      <alignment vertical="top" wrapText="1"/>
    </xf>
    <xf numFmtId="0" fontId="5" fillId="0" borderId="1" xfId="0" applyFont="1" applyFill="1" applyBorder="1" applyAlignment="1" applyProtection="1">
      <alignment horizontal="left" vertical="top" wrapText="1"/>
    </xf>
    <xf numFmtId="0" fontId="1" fillId="8" borderId="0" xfId="0" applyFont="1" applyFill="1" applyAlignment="1" applyProtection="1"/>
    <xf numFmtId="0" fontId="2" fillId="8" borderId="0" xfId="0" applyFont="1" applyFill="1" applyProtection="1"/>
    <xf numFmtId="0" fontId="0" fillId="8" borderId="0" xfId="0" applyFill="1" applyProtection="1"/>
    <xf numFmtId="0" fontId="6" fillId="8" borderId="0" xfId="0" applyFont="1" applyFill="1" applyAlignment="1" applyProtection="1">
      <alignment horizontal="right"/>
    </xf>
    <xf numFmtId="0" fontId="6" fillId="8" borderId="0" xfId="0" applyFont="1" applyFill="1" applyAlignment="1" applyProtection="1">
      <alignment horizontal="center"/>
    </xf>
    <xf numFmtId="0" fontId="6" fillId="8" borderId="3" xfId="0" applyFont="1" applyFill="1" applyBorder="1" applyAlignment="1" applyProtection="1"/>
    <xf numFmtId="0" fontId="6" fillId="8" borderId="3" xfId="0" applyFont="1" applyFill="1" applyBorder="1" applyAlignment="1" applyProtection="1">
      <alignment horizontal="center"/>
    </xf>
    <xf numFmtId="0" fontId="13" fillId="8" borderId="0" xfId="0" applyFont="1" applyFill="1" applyAlignment="1" applyProtection="1">
      <alignment horizontal="center" wrapText="1"/>
    </xf>
    <xf numFmtId="0" fontId="14" fillId="6" borderId="1" xfId="0" applyFont="1" applyFill="1" applyBorder="1" applyAlignment="1" applyProtection="1">
      <alignment horizontal="left"/>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19049</xdr:colOff>
      <xdr:row>0</xdr:row>
      <xdr:rowOff>19049</xdr:rowOff>
    </xdr:from>
    <xdr:to>
      <xdr:col>2</xdr:col>
      <xdr:colOff>922564</xdr:colOff>
      <xdr:row>0</xdr:row>
      <xdr:rowOff>994908</xdr:rowOff>
    </xdr:to>
    <xdr:pic>
      <xdr:nvPicPr>
        <xdr:cNvPr id="3" name="Picture 2" descr="Related imag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 y="19049"/>
          <a:ext cx="3152776" cy="975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19049</xdr:colOff>
      <xdr:row>0</xdr:row>
      <xdr:rowOff>19049</xdr:rowOff>
    </xdr:from>
    <xdr:to>
      <xdr:col>2</xdr:col>
      <xdr:colOff>1181100</xdr:colOff>
      <xdr:row>0</xdr:row>
      <xdr:rowOff>994908</xdr:rowOff>
    </xdr:to>
    <xdr:pic>
      <xdr:nvPicPr>
        <xdr:cNvPr id="2" name="Picture 1" descr="Related imag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 y="19049"/>
          <a:ext cx="3152776" cy="975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19049</xdr:colOff>
      <xdr:row>0</xdr:row>
      <xdr:rowOff>19049</xdr:rowOff>
    </xdr:from>
    <xdr:to>
      <xdr:col>2</xdr:col>
      <xdr:colOff>1181100</xdr:colOff>
      <xdr:row>0</xdr:row>
      <xdr:rowOff>994908</xdr:rowOff>
    </xdr:to>
    <xdr:pic>
      <xdr:nvPicPr>
        <xdr:cNvPr id="2" name="Picture 1" descr="Related imag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 y="19049"/>
          <a:ext cx="3152776" cy="975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19049</xdr:colOff>
      <xdr:row>0</xdr:row>
      <xdr:rowOff>19049</xdr:rowOff>
    </xdr:from>
    <xdr:to>
      <xdr:col>2</xdr:col>
      <xdr:colOff>1181100</xdr:colOff>
      <xdr:row>0</xdr:row>
      <xdr:rowOff>994908</xdr:rowOff>
    </xdr:to>
    <xdr:pic>
      <xdr:nvPicPr>
        <xdr:cNvPr id="2" name="Picture 1" descr="Related imag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 y="19049"/>
          <a:ext cx="3152776" cy="975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19049</xdr:colOff>
      <xdr:row>0</xdr:row>
      <xdr:rowOff>19049</xdr:rowOff>
    </xdr:from>
    <xdr:to>
      <xdr:col>2</xdr:col>
      <xdr:colOff>1181100</xdr:colOff>
      <xdr:row>0</xdr:row>
      <xdr:rowOff>994908</xdr:rowOff>
    </xdr:to>
    <xdr:pic>
      <xdr:nvPicPr>
        <xdr:cNvPr id="2" name="Picture 1" descr="Related imag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 y="19049"/>
          <a:ext cx="3152776" cy="975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19049</xdr:colOff>
      <xdr:row>0</xdr:row>
      <xdr:rowOff>19049</xdr:rowOff>
    </xdr:from>
    <xdr:to>
      <xdr:col>2</xdr:col>
      <xdr:colOff>1181100</xdr:colOff>
      <xdr:row>0</xdr:row>
      <xdr:rowOff>994908</xdr:rowOff>
    </xdr:to>
    <xdr:pic>
      <xdr:nvPicPr>
        <xdr:cNvPr id="2" name="Picture 1" descr="Related imag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 y="19049"/>
          <a:ext cx="3152776" cy="975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19049</xdr:colOff>
      <xdr:row>0</xdr:row>
      <xdr:rowOff>19049</xdr:rowOff>
    </xdr:from>
    <xdr:to>
      <xdr:col>2</xdr:col>
      <xdr:colOff>1181100</xdr:colOff>
      <xdr:row>0</xdr:row>
      <xdr:rowOff>994908</xdr:rowOff>
    </xdr:to>
    <xdr:pic>
      <xdr:nvPicPr>
        <xdr:cNvPr id="2" name="Picture 1" descr="Related imag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 y="19049"/>
          <a:ext cx="3152776" cy="975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19049</xdr:colOff>
      <xdr:row>0</xdr:row>
      <xdr:rowOff>19049</xdr:rowOff>
    </xdr:from>
    <xdr:to>
      <xdr:col>2</xdr:col>
      <xdr:colOff>1181100</xdr:colOff>
      <xdr:row>0</xdr:row>
      <xdr:rowOff>994908</xdr:rowOff>
    </xdr:to>
    <xdr:pic>
      <xdr:nvPicPr>
        <xdr:cNvPr id="2" name="Picture 1" descr="Related imag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 y="19049"/>
          <a:ext cx="3152776" cy="975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9525</xdr:colOff>
      <xdr:row>0</xdr:row>
      <xdr:rowOff>19050</xdr:rowOff>
    </xdr:from>
    <xdr:to>
      <xdr:col>2</xdr:col>
      <xdr:colOff>1171576</xdr:colOff>
      <xdr:row>0</xdr:row>
      <xdr:rowOff>994909</xdr:rowOff>
    </xdr:to>
    <xdr:pic>
      <xdr:nvPicPr>
        <xdr:cNvPr id="2" name="Picture 1" descr="Related imag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19050"/>
          <a:ext cx="3152776" cy="975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9525</xdr:colOff>
      <xdr:row>0</xdr:row>
      <xdr:rowOff>19050</xdr:rowOff>
    </xdr:from>
    <xdr:to>
      <xdr:col>2</xdr:col>
      <xdr:colOff>1171576</xdr:colOff>
      <xdr:row>0</xdr:row>
      <xdr:rowOff>994909</xdr:rowOff>
    </xdr:to>
    <xdr:pic>
      <xdr:nvPicPr>
        <xdr:cNvPr id="2" name="Picture 1" descr="Related imag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19050"/>
          <a:ext cx="3152776" cy="975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9525</xdr:colOff>
      <xdr:row>0</xdr:row>
      <xdr:rowOff>19050</xdr:rowOff>
    </xdr:from>
    <xdr:to>
      <xdr:col>2</xdr:col>
      <xdr:colOff>1171576</xdr:colOff>
      <xdr:row>0</xdr:row>
      <xdr:rowOff>994909</xdr:rowOff>
    </xdr:to>
    <xdr:pic>
      <xdr:nvPicPr>
        <xdr:cNvPr id="2" name="Picture 1" descr="Related imag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19050"/>
          <a:ext cx="3152776" cy="975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9525</xdr:colOff>
      <xdr:row>0</xdr:row>
      <xdr:rowOff>19050</xdr:rowOff>
    </xdr:from>
    <xdr:to>
      <xdr:col>2</xdr:col>
      <xdr:colOff>1171576</xdr:colOff>
      <xdr:row>0</xdr:row>
      <xdr:rowOff>994909</xdr:rowOff>
    </xdr:to>
    <xdr:pic>
      <xdr:nvPicPr>
        <xdr:cNvPr id="2" name="Picture 1" descr="Related imag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19050"/>
          <a:ext cx="3152776" cy="975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9525</xdr:colOff>
      <xdr:row>0</xdr:row>
      <xdr:rowOff>19050</xdr:rowOff>
    </xdr:from>
    <xdr:to>
      <xdr:col>2</xdr:col>
      <xdr:colOff>1171576</xdr:colOff>
      <xdr:row>0</xdr:row>
      <xdr:rowOff>994909</xdr:rowOff>
    </xdr:to>
    <xdr:pic>
      <xdr:nvPicPr>
        <xdr:cNvPr id="2" name="Picture 1" descr="Related imag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19050"/>
          <a:ext cx="3152776" cy="975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9525</xdr:colOff>
      <xdr:row>0</xdr:row>
      <xdr:rowOff>19050</xdr:rowOff>
    </xdr:from>
    <xdr:to>
      <xdr:col>2</xdr:col>
      <xdr:colOff>1171576</xdr:colOff>
      <xdr:row>0</xdr:row>
      <xdr:rowOff>994909</xdr:rowOff>
    </xdr:to>
    <xdr:pic>
      <xdr:nvPicPr>
        <xdr:cNvPr id="2" name="Picture 1" descr="Related imag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19050"/>
          <a:ext cx="3152776" cy="975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orax.pca.state.mn.us/green-meetings" TargetMode="External"/><Relationship Id="rId1" Type="http://schemas.openxmlformats.org/officeDocument/2006/relationships/hyperlink" Target="https://mn.gov/commerce/consumers/your-home/energy-info/efficiency/"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J41"/>
  <sheetViews>
    <sheetView tabSelected="1" zoomScale="80" zoomScaleNormal="80" workbookViewId="0">
      <selection activeCell="I5" sqref="I5"/>
    </sheetView>
  </sheetViews>
  <sheetFormatPr defaultRowHeight="15" x14ac:dyDescent="0.25"/>
  <cols>
    <col min="1" max="1" width="11.140625" customWidth="1"/>
    <col min="2" max="5" width="22.7109375" customWidth="1"/>
    <col min="6" max="6" width="30.7109375" customWidth="1"/>
    <col min="7" max="7" width="22.7109375" customWidth="1"/>
    <col min="8" max="8" width="30.7109375" customWidth="1"/>
    <col min="9" max="9" width="22.7109375" customWidth="1"/>
    <col min="10" max="10" width="60.7109375" customWidth="1"/>
  </cols>
  <sheetData>
    <row r="1" spans="1:10" ht="78.75" customHeight="1" x14ac:dyDescent="0.25">
      <c r="A1" s="14"/>
      <c r="B1" s="15"/>
      <c r="C1" s="15"/>
      <c r="D1" s="30" t="s">
        <v>56</v>
      </c>
      <c r="E1" s="30"/>
      <c r="F1" s="30"/>
      <c r="G1" s="30"/>
      <c r="H1" s="30"/>
      <c r="I1" s="30"/>
      <c r="J1" s="31"/>
    </row>
    <row r="2" spans="1:10" x14ac:dyDescent="0.25">
      <c r="A2" s="28" t="s">
        <v>45</v>
      </c>
      <c r="B2" s="29"/>
      <c r="C2" s="75"/>
      <c r="D2" s="75"/>
      <c r="E2" s="16"/>
      <c r="F2" s="16"/>
      <c r="G2" s="16"/>
      <c r="H2" s="16"/>
      <c r="I2" s="16"/>
      <c r="J2" s="17"/>
    </row>
    <row r="3" spans="1:10" x14ac:dyDescent="0.25">
      <c r="A3" s="28" t="s">
        <v>39</v>
      </c>
      <c r="B3" s="29"/>
      <c r="C3" s="75"/>
      <c r="D3" s="75"/>
      <c r="E3" s="16"/>
      <c r="F3" s="16"/>
      <c r="G3" s="16"/>
      <c r="H3" s="16"/>
      <c r="I3" s="16"/>
      <c r="J3" s="17"/>
    </row>
    <row r="4" spans="1:10" x14ac:dyDescent="0.25">
      <c r="A4" s="18" t="s">
        <v>0</v>
      </c>
      <c r="B4" s="25" t="s">
        <v>205</v>
      </c>
      <c r="C4" s="25" t="s">
        <v>204</v>
      </c>
      <c r="D4" s="25" t="s">
        <v>3</v>
      </c>
      <c r="E4" s="25" t="s">
        <v>91</v>
      </c>
      <c r="F4" s="25" t="s">
        <v>4</v>
      </c>
      <c r="G4" s="25" t="s">
        <v>5</v>
      </c>
      <c r="H4" s="25" t="s">
        <v>6</v>
      </c>
      <c r="I4" s="25" t="s">
        <v>38</v>
      </c>
      <c r="J4" s="26" t="s">
        <v>7</v>
      </c>
    </row>
    <row r="5" spans="1:10" ht="93.75" customHeight="1" x14ac:dyDescent="0.25">
      <c r="A5" s="6">
        <v>1</v>
      </c>
      <c r="B5" s="7" t="s">
        <v>40</v>
      </c>
      <c r="C5" s="20" t="s">
        <v>8</v>
      </c>
      <c r="D5" s="20" t="s">
        <v>9</v>
      </c>
      <c r="E5" s="27" t="s">
        <v>118</v>
      </c>
      <c r="F5" s="8" t="s">
        <v>55</v>
      </c>
      <c r="G5" s="20">
        <v>15</v>
      </c>
      <c r="H5" s="20" t="s">
        <v>186</v>
      </c>
      <c r="I5" s="44"/>
      <c r="J5" s="9" t="s">
        <v>58</v>
      </c>
    </row>
    <row r="6" spans="1:10" ht="94.5" customHeight="1" x14ac:dyDescent="0.25">
      <c r="A6" s="6">
        <v>2</v>
      </c>
      <c r="B6" s="7" t="s">
        <v>40</v>
      </c>
      <c r="C6" s="20" t="s">
        <v>8</v>
      </c>
      <c r="D6" s="20" t="s">
        <v>9</v>
      </c>
      <c r="E6" s="27" t="s">
        <v>118</v>
      </c>
      <c r="F6" s="8" t="s">
        <v>11</v>
      </c>
      <c r="G6" s="20">
        <v>15</v>
      </c>
      <c r="H6" s="20" t="s">
        <v>186</v>
      </c>
      <c r="I6" s="44"/>
      <c r="J6" s="9" t="s">
        <v>59</v>
      </c>
    </row>
    <row r="7" spans="1:10" ht="105" x14ac:dyDescent="0.25">
      <c r="A7" s="6">
        <v>3</v>
      </c>
      <c r="B7" s="7" t="s">
        <v>40</v>
      </c>
      <c r="C7" s="20" t="s">
        <v>8</v>
      </c>
      <c r="D7" s="20" t="s">
        <v>10</v>
      </c>
      <c r="E7" s="27" t="s">
        <v>118</v>
      </c>
      <c r="F7" s="8" t="s">
        <v>12</v>
      </c>
      <c r="G7" s="20">
        <v>8</v>
      </c>
      <c r="H7" s="20" t="s">
        <v>206</v>
      </c>
      <c r="I7" s="44"/>
      <c r="J7" s="9" t="s">
        <v>60</v>
      </c>
    </row>
    <row r="8" spans="1:10" ht="45" x14ac:dyDescent="0.25">
      <c r="A8" s="6">
        <v>4</v>
      </c>
      <c r="B8" s="10" t="s">
        <v>13</v>
      </c>
      <c r="C8" s="20" t="s">
        <v>14</v>
      </c>
      <c r="D8" s="20" t="s">
        <v>93</v>
      </c>
      <c r="E8" s="20" t="s">
        <v>94</v>
      </c>
      <c r="F8" s="8" t="s">
        <v>153</v>
      </c>
      <c r="G8" s="20">
        <f>7*'Daily Scoring - Day 1'!H5</f>
        <v>56</v>
      </c>
      <c r="H8" s="20" t="s">
        <v>149</v>
      </c>
      <c r="I8" s="20">
        <f>SUM('Daily Scoring - Day 1'!K5,'Daily Scoring - Day 2'!K5,'Daily Scoring - Day 3'!K5,'Daily Scoring - Day 4'!K5,'Daily Scoring - Day 5'!K5,'Daily Scoring - Day 6'!K5,'Daily Scoring - Day 7'!K5)</f>
        <v>0</v>
      </c>
      <c r="J8" s="9"/>
    </row>
    <row r="9" spans="1:10" ht="45" x14ac:dyDescent="0.25">
      <c r="A9" s="6">
        <v>5</v>
      </c>
      <c r="B9" s="11" t="s">
        <v>18</v>
      </c>
      <c r="C9" s="20" t="s">
        <v>14</v>
      </c>
      <c r="D9" s="20" t="s">
        <v>93</v>
      </c>
      <c r="E9" s="20" t="s">
        <v>95</v>
      </c>
      <c r="F9" s="8" t="s">
        <v>209</v>
      </c>
      <c r="G9" s="20">
        <f>7*'Daily Scoring - Day 1'!H6</f>
        <v>42</v>
      </c>
      <c r="H9" s="20" t="s">
        <v>149</v>
      </c>
      <c r="I9" s="20">
        <f>SUM('Daily Scoring - Day 1'!K6,'Daily Scoring - Day 2'!K6,'Daily Scoring - Day 3'!K6,'Daily Scoring - Day 4'!K6,'Daily Scoring - Day 5'!K6,'Daily Scoring - Day 6'!K6,'Daily Scoring - Day 7'!K6)</f>
        <v>0</v>
      </c>
      <c r="J9" s="9"/>
    </row>
    <row r="10" spans="1:10" ht="30" x14ac:dyDescent="0.25">
      <c r="A10" s="6">
        <v>6</v>
      </c>
      <c r="B10" s="12" t="s">
        <v>21</v>
      </c>
      <c r="C10" s="20" t="s">
        <v>14</v>
      </c>
      <c r="D10" s="20" t="s">
        <v>93</v>
      </c>
      <c r="E10" s="20" t="s">
        <v>120</v>
      </c>
      <c r="F10" s="8" t="s">
        <v>154</v>
      </c>
      <c r="G10" s="20">
        <f>7*'Daily Scoring - Day 1'!H7</f>
        <v>28</v>
      </c>
      <c r="H10" s="20" t="s">
        <v>149</v>
      </c>
      <c r="I10" s="20">
        <f>SUM('Daily Scoring - Day 1'!K7,'Daily Scoring - Day 2'!K7,'Daily Scoring - Day 3'!K7,'Daily Scoring - Day 4'!K7,'Daily Scoring - Day 5'!K7,'Daily Scoring - Day 6'!K7,'Daily Scoring - Day 7'!K7)</f>
        <v>0</v>
      </c>
      <c r="J10" s="9"/>
    </row>
    <row r="11" spans="1:10" ht="45" x14ac:dyDescent="0.25">
      <c r="A11" s="6">
        <v>7</v>
      </c>
      <c r="B11" s="12" t="s">
        <v>21</v>
      </c>
      <c r="C11" s="20" t="s">
        <v>14</v>
      </c>
      <c r="D11" s="20" t="s">
        <v>93</v>
      </c>
      <c r="E11" s="20" t="s">
        <v>120</v>
      </c>
      <c r="F11" s="8" t="s">
        <v>155</v>
      </c>
      <c r="G11" s="20">
        <f>7*'Daily Scoring - Day 1'!H8</f>
        <v>28</v>
      </c>
      <c r="H11" s="20" t="s">
        <v>149</v>
      </c>
      <c r="I11" s="20">
        <f>SUM('Daily Scoring - Day 1'!K8,'Daily Scoring - Day 2'!K8,'Daily Scoring - Day 3'!K8,'Daily Scoring - Day 4'!K8,'Daily Scoring - Day 5'!K8,'Daily Scoring - Day 6'!K8,'Daily Scoring - Day 7'!K8)</f>
        <v>0</v>
      </c>
      <c r="J11" s="9"/>
    </row>
    <row r="12" spans="1:10" ht="30" x14ac:dyDescent="0.25">
      <c r="A12" s="6">
        <v>8</v>
      </c>
      <c r="B12" s="10" t="s">
        <v>13</v>
      </c>
      <c r="C12" s="20" t="s">
        <v>14</v>
      </c>
      <c r="D12" s="20" t="s">
        <v>96</v>
      </c>
      <c r="E12" s="20" t="s">
        <v>92</v>
      </c>
      <c r="F12" s="8" t="s">
        <v>150</v>
      </c>
      <c r="G12" s="20">
        <f>7*'Daily Scoring - Day 1'!H9</f>
        <v>56</v>
      </c>
      <c r="H12" s="20" t="s">
        <v>149</v>
      </c>
      <c r="I12" s="20">
        <f>SUM('Daily Scoring - Day 1'!K9,'Daily Scoring - Day 2'!K9,'Daily Scoring - Day 3'!K9,'Daily Scoring - Day 4'!K9,'Daily Scoring - Day 5'!K9,'Daily Scoring - Day 6'!K9,'Daily Scoring - Day 7'!K9)</f>
        <v>0</v>
      </c>
      <c r="J12" s="9"/>
    </row>
    <row r="13" spans="1:10" ht="30" x14ac:dyDescent="0.25">
      <c r="A13" s="6">
        <v>9</v>
      </c>
      <c r="B13" s="11" t="s">
        <v>18</v>
      </c>
      <c r="C13" s="20" t="s">
        <v>14</v>
      </c>
      <c r="D13" s="20" t="s">
        <v>96</v>
      </c>
      <c r="E13" s="20" t="s">
        <v>97</v>
      </c>
      <c r="F13" s="23" t="s">
        <v>151</v>
      </c>
      <c r="G13" s="20">
        <f>7*'Daily Scoring - Day 1'!H10</f>
        <v>42</v>
      </c>
      <c r="H13" s="20" t="s">
        <v>149</v>
      </c>
      <c r="I13" s="20">
        <f>SUM('Daily Scoring - Day 1'!K10,'Daily Scoring - Day 2'!K10,'Daily Scoring - Day 3'!K10,'Daily Scoring - Day 4'!K10,'Daily Scoring - Day 5'!K10,'Daily Scoring - Day 6'!K10,'Daily Scoring - Day 7'!K10)</f>
        <v>0</v>
      </c>
      <c r="J13" s="24"/>
    </row>
    <row r="14" spans="1:10" ht="30" x14ac:dyDescent="0.25">
      <c r="A14" s="6">
        <v>10</v>
      </c>
      <c r="B14" s="12" t="s">
        <v>21</v>
      </c>
      <c r="C14" s="20" t="s">
        <v>14</v>
      </c>
      <c r="D14" s="20" t="s">
        <v>96</v>
      </c>
      <c r="E14" s="20" t="s">
        <v>98</v>
      </c>
      <c r="F14" s="8" t="s">
        <v>152</v>
      </c>
      <c r="G14" s="20">
        <f>7*'Daily Scoring - Day 1'!H11</f>
        <v>28</v>
      </c>
      <c r="H14" s="20" t="s">
        <v>149</v>
      </c>
      <c r="I14" s="20">
        <f>SUM('Daily Scoring - Day 1'!K11,'Daily Scoring - Day 2'!K11,'Daily Scoring - Day 3'!K11,'Daily Scoring - Day 4'!K11,'Daily Scoring - Day 5'!K11,'Daily Scoring - Day 6'!K11,'Daily Scoring - Day 7'!K11)</f>
        <v>0</v>
      </c>
      <c r="J14" s="9"/>
    </row>
    <row r="15" spans="1:10" ht="45" x14ac:dyDescent="0.25">
      <c r="A15" s="6">
        <v>11</v>
      </c>
      <c r="B15" s="10" t="s">
        <v>13</v>
      </c>
      <c r="C15" s="20" t="s">
        <v>14</v>
      </c>
      <c r="D15" s="20" t="s">
        <v>100</v>
      </c>
      <c r="E15" s="20" t="s">
        <v>101</v>
      </c>
      <c r="F15" s="8" t="s">
        <v>156</v>
      </c>
      <c r="G15" s="20">
        <f>7*'Daily Scoring - Day 1'!H12</f>
        <v>56</v>
      </c>
      <c r="H15" s="20" t="s">
        <v>149</v>
      </c>
      <c r="I15" s="20">
        <f>SUM('Daily Scoring - Day 1'!K12,'Daily Scoring - Day 2'!K12,'Daily Scoring - Day 3'!K12,'Daily Scoring - Day 4'!K12,'Daily Scoring - Day 5'!K12,'Daily Scoring - Day 6'!K12,'Daily Scoring - Day 7'!K12)</f>
        <v>0</v>
      </c>
      <c r="J15" s="9"/>
    </row>
    <row r="16" spans="1:10" ht="45" x14ac:dyDescent="0.25">
      <c r="A16" s="6">
        <v>12</v>
      </c>
      <c r="B16" s="12" t="s">
        <v>21</v>
      </c>
      <c r="C16" s="20" t="s">
        <v>14</v>
      </c>
      <c r="D16" s="20" t="s">
        <v>100</v>
      </c>
      <c r="E16" s="20" t="s">
        <v>104</v>
      </c>
      <c r="F16" s="8" t="s">
        <v>157</v>
      </c>
      <c r="G16" s="20">
        <f>7*'Daily Scoring - Day 1'!H13</f>
        <v>28</v>
      </c>
      <c r="H16" s="20" t="s">
        <v>149</v>
      </c>
      <c r="I16" s="20">
        <f>SUM('Daily Scoring - Day 1'!K13,'Daily Scoring - Day 2'!K13,'Daily Scoring - Day 3'!K13,'Daily Scoring - Day 4'!K13,'Daily Scoring - Day 5'!K13,'Daily Scoring - Day 6'!K13,'Daily Scoring - Day 7'!K13)</f>
        <v>0</v>
      </c>
      <c r="J16" s="9"/>
    </row>
    <row r="17" spans="1:10" ht="45" x14ac:dyDescent="0.25">
      <c r="A17" s="6">
        <v>13</v>
      </c>
      <c r="B17" s="11" t="s">
        <v>18</v>
      </c>
      <c r="C17" s="20" t="s">
        <v>14</v>
      </c>
      <c r="D17" s="20" t="s">
        <v>100</v>
      </c>
      <c r="E17" s="20" t="s">
        <v>102</v>
      </c>
      <c r="F17" s="8" t="s">
        <v>156</v>
      </c>
      <c r="G17" s="20">
        <f>7*'Daily Scoring - Day 1'!H14</f>
        <v>42</v>
      </c>
      <c r="H17" s="20" t="s">
        <v>149</v>
      </c>
      <c r="I17" s="20">
        <f>SUM('Daily Scoring - Day 1'!K14,'Daily Scoring - Day 2'!K14,'Daily Scoring - Day 3'!K14,'Daily Scoring - Day 4'!K14,'Daily Scoring - Day 5'!K14,'Daily Scoring - Day 6'!K14,'Daily Scoring - Day 7'!K14)</f>
        <v>0</v>
      </c>
      <c r="J17" s="9"/>
    </row>
    <row r="18" spans="1:10" ht="45" customHeight="1" x14ac:dyDescent="0.25">
      <c r="A18" s="6">
        <v>14</v>
      </c>
      <c r="B18" s="12" t="s">
        <v>21</v>
      </c>
      <c r="C18" s="20" t="s">
        <v>14</v>
      </c>
      <c r="D18" s="20" t="s">
        <v>100</v>
      </c>
      <c r="E18" s="20" t="s">
        <v>103</v>
      </c>
      <c r="F18" s="8" t="s">
        <v>158</v>
      </c>
      <c r="G18" s="20">
        <f>7*'Daily Scoring - Day 1'!H15</f>
        <v>28</v>
      </c>
      <c r="H18" s="20" t="s">
        <v>149</v>
      </c>
      <c r="I18" s="20">
        <f>SUM('Daily Scoring - Day 1'!K15,'Daily Scoring - Day 2'!K15,'Daily Scoring - Day 3'!K15,'Daily Scoring - Day 4'!K15,'Daily Scoring - Day 5'!K15,'Daily Scoring - Day 6'!K15,'Daily Scoring - Day 7'!K15)</f>
        <v>0</v>
      </c>
      <c r="J18" s="9"/>
    </row>
    <row r="19" spans="1:10" ht="30" x14ac:dyDescent="0.25">
      <c r="A19" s="6">
        <v>15</v>
      </c>
      <c r="B19" s="10" t="s">
        <v>13</v>
      </c>
      <c r="C19" s="20" t="s">
        <v>14</v>
      </c>
      <c r="D19" s="20" t="s">
        <v>106</v>
      </c>
      <c r="E19" s="20" t="s">
        <v>105</v>
      </c>
      <c r="F19" s="8" t="s">
        <v>159</v>
      </c>
      <c r="G19" s="20">
        <f>7*'Daily Scoring - Day 1'!H16</f>
        <v>56</v>
      </c>
      <c r="H19" s="20" t="s">
        <v>149</v>
      </c>
      <c r="I19" s="20">
        <f>SUM('Daily Scoring - Day 1'!K16,'Daily Scoring - Day 2'!K16,'Daily Scoring - Day 3'!K16,'Daily Scoring - Day 4'!K16,'Daily Scoring - Day 5'!K16,'Daily Scoring - Day 6'!K16,'Daily Scoring - Day 7'!K16)</f>
        <v>0</v>
      </c>
      <c r="J19" s="9"/>
    </row>
    <row r="20" spans="1:10" ht="45" x14ac:dyDescent="0.25">
      <c r="A20" s="6">
        <v>16</v>
      </c>
      <c r="B20" s="10" t="s">
        <v>13</v>
      </c>
      <c r="C20" s="22" t="s">
        <v>14</v>
      </c>
      <c r="D20" s="20" t="s">
        <v>106</v>
      </c>
      <c r="E20" s="22" t="s">
        <v>107</v>
      </c>
      <c r="F20" s="8" t="s">
        <v>208</v>
      </c>
      <c r="G20" s="20">
        <f>7*'Daily Scoring - Day 1'!H17</f>
        <v>56</v>
      </c>
      <c r="H20" s="20" t="s">
        <v>149</v>
      </c>
      <c r="I20" s="20">
        <f>SUM('Daily Scoring - Day 1'!K17,'Daily Scoring - Day 2'!K17,'Daily Scoring - Day 3'!K17,'Daily Scoring - Day 4'!K17,'Daily Scoring - Day 5'!K17,'Daily Scoring - Day 6'!K17,'Daily Scoring - Day 7'!K17)</f>
        <v>0</v>
      </c>
      <c r="J20" s="9"/>
    </row>
    <row r="21" spans="1:10" ht="45" x14ac:dyDescent="0.25">
      <c r="A21" s="6">
        <v>17</v>
      </c>
      <c r="B21" s="11" t="s">
        <v>18</v>
      </c>
      <c r="C21" s="20" t="s">
        <v>14</v>
      </c>
      <c r="D21" s="20" t="s">
        <v>106</v>
      </c>
      <c r="E21" s="20" t="s">
        <v>108</v>
      </c>
      <c r="F21" s="8" t="s">
        <v>160</v>
      </c>
      <c r="G21" s="20">
        <f>7*'Daily Scoring - Day 1'!H18</f>
        <v>42</v>
      </c>
      <c r="H21" s="20" t="s">
        <v>149</v>
      </c>
      <c r="I21" s="20">
        <f>SUM('Daily Scoring - Day 1'!K18,'Daily Scoring - Day 2'!K18,'Daily Scoring - Day 3'!K18,'Daily Scoring - Day 4'!K18,'Daily Scoring - Day 5'!K18,'Daily Scoring - Day 6'!K18,'Daily Scoring - Day 7'!K18)</f>
        <v>0</v>
      </c>
      <c r="J21" s="9"/>
    </row>
    <row r="22" spans="1:10" ht="30" x14ac:dyDescent="0.25">
      <c r="A22" s="6">
        <v>18</v>
      </c>
      <c r="B22" s="11" t="s">
        <v>18</v>
      </c>
      <c r="C22" s="20" t="s">
        <v>14</v>
      </c>
      <c r="D22" s="20" t="s">
        <v>106</v>
      </c>
      <c r="E22" s="20" t="s">
        <v>109</v>
      </c>
      <c r="F22" s="8" t="s">
        <v>161</v>
      </c>
      <c r="G22" s="20">
        <f>7*'Daily Scoring - Day 1'!H19</f>
        <v>42</v>
      </c>
      <c r="H22" s="20" t="s">
        <v>149</v>
      </c>
      <c r="I22" s="20">
        <f>SUM('Daily Scoring - Day 1'!K19,'Daily Scoring - Day 2'!K19,'Daily Scoring - Day 3'!K19,'Daily Scoring - Day 4'!K19,'Daily Scoring - Day 5'!K19,'Daily Scoring - Day 6'!K19,'Daily Scoring - Day 7'!K19)</f>
        <v>0</v>
      </c>
      <c r="J22" s="9"/>
    </row>
    <row r="23" spans="1:10" ht="30" x14ac:dyDescent="0.25">
      <c r="A23" s="6">
        <v>19</v>
      </c>
      <c r="B23" s="12" t="s">
        <v>21</v>
      </c>
      <c r="C23" s="20" t="s">
        <v>14</v>
      </c>
      <c r="D23" s="20" t="s">
        <v>106</v>
      </c>
      <c r="E23" s="20" t="s">
        <v>110</v>
      </c>
      <c r="F23" s="8" t="s">
        <v>207</v>
      </c>
      <c r="G23" s="20">
        <f>7*'Daily Scoring - Day 1'!H20</f>
        <v>28</v>
      </c>
      <c r="H23" s="20" t="s">
        <v>149</v>
      </c>
      <c r="I23" s="20">
        <f>SUM('Daily Scoring - Day 1'!K20,'Daily Scoring - Day 2'!K20,'Daily Scoring - Day 3'!K20,'Daily Scoring - Day 4'!K20,'Daily Scoring - Day 5'!K20,'Daily Scoring - Day 6'!K20,'Daily Scoring - Day 7'!K20)</f>
        <v>0</v>
      </c>
      <c r="J23" s="9"/>
    </row>
    <row r="24" spans="1:10" ht="30" x14ac:dyDescent="0.25">
      <c r="A24" s="6">
        <v>20</v>
      </c>
      <c r="B24" s="12" t="s">
        <v>21</v>
      </c>
      <c r="C24" s="20" t="s">
        <v>14</v>
      </c>
      <c r="D24" s="20" t="s">
        <v>106</v>
      </c>
      <c r="E24" s="20" t="s">
        <v>111</v>
      </c>
      <c r="F24" s="8" t="s">
        <v>162</v>
      </c>
      <c r="G24" s="20">
        <f>7*'Daily Scoring - Day 1'!H21</f>
        <v>28</v>
      </c>
      <c r="H24" s="20" t="s">
        <v>149</v>
      </c>
      <c r="I24" s="20">
        <f>SUM('Daily Scoring - Day 1'!K21,'Daily Scoring - Day 2'!K21,'Daily Scoring - Day 3'!K21,'Daily Scoring - Day 4'!K21,'Daily Scoring - Day 5'!K21,'Daily Scoring - Day 6'!K21,'Daily Scoring - Day 7'!K21)</f>
        <v>0</v>
      </c>
      <c r="J24" s="9"/>
    </row>
    <row r="25" spans="1:10" ht="30" x14ac:dyDescent="0.25">
      <c r="A25" s="6">
        <v>21</v>
      </c>
      <c r="B25" s="11" t="s">
        <v>18</v>
      </c>
      <c r="C25" s="20" t="s">
        <v>14</v>
      </c>
      <c r="D25" s="20" t="s">
        <v>112</v>
      </c>
      <c r="E25" s="20" t="s">
        <v>127</v>
      </c>
      <c r="F25" s="8" t="s">
        <v>163</v>
      </c>
      <c r="G25" s="20">
        <f>7*'Daily Scoring - Day 1'!H22</f>
        <v>42</v>
      </c>
      <c r="H25" s="20" t="s">
        <v>149</v>
      </c>
      <c r="I25" s="20">
        <f>SUM('Daily Scoring - Day 1'!K22,'Daily Scoring - Day 2'!K22,'Daily Scoring - Day 3'!K22,'Daily Scoring - Day 4'!K22,'Daily Scoring - Day 5'!K22,'Daily Scoring - Day 6'!K22,'Daily Scoring - Day 7'!K22)</f>
        <v>0</v>
      </c>
      <c r="J25" s="9"/>
    </row>
    <row r="26" spans="1:10" ht="30" x14ac:dyDescent="0.25">
      <c r="A26" s="6">
        <v>22</v>
      </c>
      <c r="B26" s="10" t="s">
        <v>13</v>
      </c>
      <c r="C26" s="20" t="s">
        <v>14</v>
      </c>
      <c r="D26" s="20" t="s">
        <v>112</v>
      </c>
      <c r="E26" s="20" t="s">
        <v>128</v>
      </c>
      <c r="F26" s="8" t="s">
        <v>164</v>
      </c>
      <c r="G26" s="20">
        <f>7*'Daily Scoring - Day 1'!H23</f>
        <v>56</v>
      </c>
      <c r="H26" s="20" t="s">
        <v>149</v>
      </c>
      <c r="I26" s="20">
        <f>SUM('Daily Scoring - Day 1'!K23,'Daily Scoring - Day 2'!K23,'Daily Scoring - Day 3'!K23,'Daily Scoring - Day 4'!K23,'Daily Scoring - Day 5'!K23,'Daily Scoring - Day 6'!K23,'Daily Scoring - Day 7'!K23)</f>
        <v>0</v>
      </c>
      <c r="J26" s="9"/>
    </row>
    <row r="27" spans="1:10" ht="30" x14ac:dyDescent="0.25">
      <c r="A27" s="6">
        <v>23</v>
      </c>
      <c r="B27" s="12" t="s">
        <v>21</v>
      </c>
      <c r="C27" s="20" t="s">
        <v>14</v>
      </c>
      <c r="D27" s="20" t="s">
        <v>112</v>
      </c>
      <c r="E27" s="20" t="s">
        <v>130</v>
      </c>
      <c r="F27" s="8" t="s">
        <v>165</v>
      </c>
      <c r="G27" s="20">
        <f>7*'Daily Scoring - Day 1'!H24</f>
        <v>28</v>
      </c>
      <c r="H27" s="20" t="s">
        <v>149</v>
      </c>
      <c r="I27" s="20">
        <f>SUM('Daily Scoring - Day 1'!K24,'Daily Scoring - Day 2'!K24,'Daily Scoring - Day 3'!K24,'Daily Scoring - Day 4'!K24,'Daily Scoring - Day 5'!K24,'Daily Scoring - Day 6'!K24,'Daily Scoring - Day 7'!K24)</f>
        <v>0</v>
      </c>
      <c r="J27" s="9"/>
    </row>
    <row r="28" spans="1:10" ht="45" x14ac:dyDescent="0.25">
      <c r="A28" s="6">
        <v>24</v>
      </c>
      <c r="B28" s="11" t="s">
        <v>18</v>
      </c>
      <c r="C28" s="20" t="s">
        <v>14</v>
      </c>
      <c r="D28" s="20" t="s">
        <v>112</v>
      </c>
      <c r="E28" s="20" t="s">
        <v>132</v>
      </c>
      <c r="F28" s="8" t="s">
        <v>166</v>
      </c>
      <c r="G28" s="20">
        <f>7*'Daily Scoring - Day 1'!H25</f>
        <v>42</v>
      </c>
      <c r="H28" s="20" t="s">
        <v>149</v>
      </c>
      <c r="I28" s="20">
        <f>SUM('Daily Scoring - Day 1'!K25,'Daily Scoring - Day 2'!K25,'Daily Scoring - Day 3'!K25,'Daily Scoring - Day 4'!K25,'Daily Scoring - Day 5'!K25,'Daily Scoring - Day 6'!K25,'Daily Scoring - Day 7'!K25)</f>
        <v>0</v>
      </c>
      <c r="J28" s="9"/>
    </row>
    <row r="29" spans="1:10" ht="131.25" customHeight="1" x14ac:dyDescent="0.25">
      <c r="A29" s="6">
        <v>25</v>
      </c>
      <c r="B29" s="13" t="s">
        <v>26</v>
      </c>
      <c r="C29" s="20" t="s">
        <v>148</v>
      </c>
      <c r="D29" s="20" t="s">
        <v>93</v>
      </c>
      <c r="E29" s="20" t="s">
        <v>116</v>
      </c>
      <c r="F29" s="8" t="s">
        <v>27</v>
      </c>
      <c r="G29" s="20">
        <v>2</v>
      </c>
      <c r="H29" s="20" t="s">
        <v>74</v>
      </c>
      <c r="I29" s="44"/>
      <c r="J29" s="9" t="s">
        <v>75</v>
      </c>
    </row>
    <row r="30" spans="1:10" ht="90" x14ac:dyDescent="0.25">
      <c r="A30" s="6">
        <v>26</v>
      </c>
      <c r="B30" s="13" t="s">
        <v>26</v>
      </c>
      <c r="C30" s="20" t="s">
        <v>148</v>
      </c>
      <c r="D30" s="20" t="s">
        <v>96</v>
      </c>
      <c r="E30" s="20" t="s">
        <v>194</v>
      </c>
      <c r="F30" s="8" t="s">
        <v>195</v>
      </c>
      <c r="G30" s="20">
        <v>2</v>
      </c>
      <c r="H30" s="20" t="s">
        <v>74</v>
      </c>
      <c r="I30" s="44"/>
      <c r="J30" s="9" t="s">
        <v>196</v>
      </c>
    </row>
    <row r="31" spans="1:10" ht="108" customHeight="1" x14ac:dyDescent="0.25">
      <c r="A31" s="6">
        <v>27</v>
      </c>
      <c r="B31" s="13" t="s">
        <v>26</v>
      </c>
      <c r="C31" s="20" t="s">
        <v>148</v>
      </c>
      <c r="D31" s="20" t="s">
        <v>100</v>
      </c>
      <c r="E31" s="20" t="s">
        <v>117</v>
      </c>
      <c r="F31" s="8" t="s">
        <v>197</v>
      </c>
      <c r="G31" s="20">
        <v>2</v>
      </c>
      <c r="H31" s="20" t="s">
        <v>74</v>
      </c>
      <c r="I31" s="44"/>
      <c r="J31" s="9" t="s">
        <v>70</v>
      </c>
    </row>
    <row r="32" spans="1:10" ht="45" x14ac:dyDescent="0.25">
      <c r="A32" s="6">
        <v>28</v>
      </c>
      <c r="B32" s="13" t="s">
        <v>26</v>
      </c>
      <c r="C32" s="20" t="s">
        <v>148</v>
      </c>
      <c r="D32" s="20" t="s">
        <v>100</v>
      </c>
      <c r="E32" s="20" t="s">
        <v>179</v>
      </c>
      <c r="F32" s="8" t="s">
        <v>198</v>
      </c>
      <c r="G32" s="20">
        <v>2</v>
      </c>
      <c r="H32" s="20" t="s">
        <v>74</v>
      </c>
      <c r="I32" s="44"/>
      <c r="J32" s="9" t="s">
        <v>199</v>
      </c>
    </row>
    <row r="33" spans="1:10" ht="196.5" customHeight="1" x14ac:dyDescent="0.25">
      <c r="A33" s="6">
        <v>29</v>
      </c>
      <c r="B33" s="13" t="s">
        <v>26</v>
      </c>
      <c r="C33" s="20" t="s">
        <v>148</v>
      </c>
      <c r="D33" s="20" t="s">
        <v>106</v>
      </c>
      <c r="E33" s="20" t="s">
        <v>115</v>
      </c>
      <c r="F33" s="8" t="s">
        <v>200</v>
      </c>
      <c r="G33" s="20">
        <v>2</v>
      </c>
      <c r="H33" s="20" t="s">
        <v>74</v>
      </c>
      <c r="I33" s="44"/>
      <c r="J33" s="9" t="s">
        <v>76</v>
      </c>
    </row>
    <row r="34" spans="1:10" ht="81.75" customHeight="1" x14ac:dyDescent="0.25">
      <c r="A34" s="6">
        <v>30</v>
      </c>
      <c r="B34" s="13" t="s">
        <v>26</v>
      </c>
      <c r="C34" s="20" t="s">
        <v>148</v>
      </c>
      <c r="D34" s="20" t="s">
        <v>112</v>
      </c>
      <c r="E34" s="20" t="s">
        <v>184</v>
      </c>
      <c r="F34" s="8" t="s">
        <v>201</v>
      </c>
      <c r="G34" s="20">
        <v>2</v>
      </c>
      <c r="H34" s="20" t="s">
        <v>74</v>
      </c>
      <c r="I34" s="44"/>
      <c r="J34" s="9" t="s">
        <v>185</v>
      </c>
    </row>
    <row r="35" spans="1:10" ht="90" customHeight="1" x14ac:dyDescent="0.25">
      <c r="A35" s="6">
        <v>31</v>
      </c>
      <c r="B35" s="13" t="s">
        <v>26</v>
      </c>
      <c r="C35" s="20" t="s">
        <v>148</v>
      </c>
      <c r="D35" s="20" t="s">
        <v>106</v>
      </c>
      <c r="E35" s="20" t="s">
        <v>113</v>
      </c>
      <c r="F35" s="8" t="s">
        <v>28</v>
      </c>
      <c r="G35" s="20">
        <v>2</v>
      </c>
      <c r="H35" s="20" t="s">
        <v>74</v>
      </c>
      <c r="I35" s="44"/>
      <c r="J35" s="9" t="s">
        <v>72</v>
      </c>
    </row>
    <row r="36" spans="1:10" ht="85.5" customHeight="1" x14ac:dyDescent="0.25">
      <c r="A36" s="6">
        <v>32</v>
      </c>
      <c r="B36" s="13" t="s">
        <v>26</v>
      </c>
      <c r="C36" s="20" t="s">
        <v>148</v>
      </c>
      <c r="D36" s="20" t="s">
        <v>106</v>
      </c>
      <c r="E36" s="20" t="s">
        <v>114</v>
      </c>
      <c r="F36" s="8" t="s">
        <v>37</v>
      </c>
      <c r="G36" s="20">
        <v>2</v>
      </c>
      <c r="H36" s="20" t="s">
        <v>74</v>
      </c>
      <c r="I36" s="44"/>
      <c r="J36" s="9" t="s">
        <v>71</v>
      </c>
    </row>
    <row r="37" spans="1:10" ht="95.25" customHeight="1" x14ac:dyDescent="0.25">
      <c r="A37" s="6">
        <v>33</v>
      </c>
      <c r="B37" s="13" t="s">
        <v>26</v>
      </c>
      <c r="C37" s="20" t="s">
        <v>148</v>
      </c>
      <c r="D37" s="20" t="s">
        <v>96</v>
      </c>
      <c r="E37" s="20" t="s">
        <v>180</v>
      </c>
      <c r="F37" s="8" t="s">
        <v>202</v>
      </c>
      <c r="G37" s="20">
        <v>2</v>
      </c>
      <c r="H37" s="20" t="s">
        <v>74</v>
      </c>
      <c r="I37" s="44"/>
      <c r="J37" s="9" t="s">
        <v>203</v>
      </c>
    </row>
    <row r="38" spans="1:10" ht="60" x14ac:dyDescent="0.25">
      <c r="A38" s="6">
        <v>34</v>
      </c>
      <c r="B38" s="13" t="s">
        <v>26</v>
      </c>
      <c r="C38" s="20" t="s">
        <v>148</v>
      </c>
      <c r="D38" s="20" t="s">
        <v>96</v>
      </c>
      <c r="E38" s="20" t="s">
        <v>182</v>
      </c>
      <c r="F38" s="8" t="s">
        <v>183</v>
      </c>
      <c r="G38" s="20">
        <v>2</v>
      </c>
      <c r="H38" s="20" t="s">
        <v>74</v>
      </c>
      <c r="I38" s="44"/>
      <c r="J38" s="9" t="s">
        <v>181</v>
      </c>
    </row>
    <row r="39" spans="1:10" ht="75.75" customHeight="1" x14ac:dyDescent="0.25">
      <c r="A39" s="6">
        <v>35</v>
      </c>
      <c r="B39" s="7" t="s">
        <v>41</v>
      </c>
      <c r="C39" s="20" t="s">
        <v>8</v>
      </c>
      <c r="D39" s="20" t="s">
        <v>9</v>
      </c>
      <c r="E39" s="27" t="s">
        <v>118</v>
      </c>
      <c r="F39" s="8" t="s">
        <v>55</v>
      </c>
      <c r="G39" s="20">
        <v>15</v>
      </c>
      <c r="H39" s="20" t="s">
        <v>186</v>
      </c>
      <c r="I39" s="44"/>
      <c r="J39" s="9" t="s">
        <v>42</v>
      </c>
    </row>
    <row r="40" spans="1:10" ht="74.25" customHeight="1" x14ac:dyDescent="0.25">
      <c r="A40" s="6">
        <v>36</v>
      </c>
      <c r="B40" s="7" t="s">
        <v>41</v>
      </c>
      <c r="C40" s="20" t="s">
        <v>8</v>
      </c>
      <c r="D40" s="20" t="s">
        <v>9</v>
      </c>
      <c r="E40" s="27" t="s">
        <v>118</v>
      </c>
      <c r="F40" s="8" t="s">
        <v>11</v>
      </c>
      <c r="G40" s="20">
        <v>15</v>
      </c>
      <c r="H40" s="20" t="s">
        <v>186</v>
      </c>
      <c r="I40" s="44"/>
      <c r="J40" s="9" t="s">
        <v>42</v>
      </c>
    </row>
    <row r="41" spans="1:10" ht="21" x14ac:dyDescent="0.35">
      <c r="A41" s="3"/>
      <c r="B41" s="3"/>
      <c r="C41" s="2"/>
      <c r="D41" s="1"/>
      <c r="E41" s="1"/>
      <c r="F41" s="4" t="s">
        <v>43</v>
      </c>
      <c r="G41" s="5">
        <f>SUM(G5:G40)</f>
        <v>942</v>
      </c>
      <c r="H41" s="4" t="s">
        <v>44</v>
      </c>
      <c r="I41" s="5">
        <f>SUM(I5:I40)</f>
        <v>0</v>
      </c>
      <c r="J41" s="1"/>
    </row>
  </sheetData>
  <sheetProtection sheet="1" selectLockedCells="1"/>
  <mergeCells count="5">
    <mergeCell ref="A3:B3"/>
    <mergeCell ref="D1:J1"/>
    <mergeCell ref="A2:B2"/>
    <mergeCell ref="C2:D2"/>
    <mergeCell ref="C3:D3"/>
  </mergeCells>
  <hyperlinks>
    <hyperlink ref="J38" r:id="rId1"/>
    <hyperlink ref="J30" r:id="rId2"/>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L27"/>
  <sheetViews>
    <sheetView zoomScale="80" zoomScaleNormal="80" workbookViewId="0">
      <selection activeCell="J5" sqref="J5"/>
    </sheetView>
  </sheetViews>
  <sheetFormatPr defaultRowHeight="15" x14ac:dyDescent="0.25"/>
  <cols>
    <col min="2" max="5" width="20.7109375" customWidth="1"/>
    <col min="6" max="6" width="30.7109375" customWidth="1"/>
    <col min="7" max="8" width="20.7109375" customWidth="1"/>
    <col min="9" max="9" width="30.7109375" customWidth="1"/>
    <col min="10" max="10" width="20.7109375" customWidth="1"/>
    <col min="11" max="11" width="26.42578125" customWidth="1"/>
    <col min="12" max="12" width="60.7109375" customWidth="1"/>
  </cols>
  <sheetData>
    <row r="1" spans="1:12" ht="78.75" customHeight="1" x14ac:dyDescent="0.25">
      <c r="A1" s="45"/>
      <c r="B1" s="46"/>
      <c r="C1" s="46"/>
      <c r="D1" s="47" t="s">
        <v>147</v>
      </c>
      <c r="E1" s="47"/>
      <c r="F1" s="47"/>
      <c r="G1" s="47"/>
      <c r="H1" s="47"/>
      <c r="I1" s="47"/>
      <c r="J1" s="47"/>
      <c r="K1" s="47"/>
      <c r="L1" s="48"/>
    </row>
    <row r="2" spans="1:12" x14ac:dyDescent="0.25">
      <c r="A2" s="49" t="s">
        <v>45</v>
      </c>
      <c r="B2" s="50"/>
      <c r="C2" s="51">
        <f>'Final Scoring'!C2</f>
        <v>0</v>
      </c>
      <c r="D2" s="52"/>
      <c r="E2" s="52"/>
      <c r="F2" s="52"/>
      <c r="G2" s="52"/>
      <c r="H2" s="52"/>
      <c r="I2" s="52"/>
      <c r="J2" s="52"/>
      <c r="K2" s="52"/>
      <c r="L2" s="53"/>
    </row>
    <row r="3" spans="1:12" x14ac:dyDescent="0.25">
      <c r="A3" s="49" t="s">
        <v>39</v>
      </c>
      <c r="B3" s="50"/>
      <c r="C3" s="51">
        <f>'Final Scoring'!C3</f>
        <v>0</v>
      </c>
      <c r="D3" s="52"/>
      <c r="E3" s="52"/>
      <c r="F3" s="52"/>
      <c r="G3" s="52"/>
      <c r="H3" s="52"/>
      <c r="I3" s="52"/>
      <c r="J3" s="52"/>
      <c r="K3" s="52"/>
      <c r="L3" s="53"/>
    </row>
    <row r="4" spans="1:12" ht="45" x14ac:dyDescent="0.25">
      <c r="A4" s="54" t="s">
        <v>0</v>
      </c>
      <c r="B4" s="55" t="s">
        <v>1</v>
      </c>
      <c r="C4" s="55" t="s">
        <v>2</v>
      </c>
      <c r="D4" s="55" t="s">
        <v>3</v>
      </c>
      <c r="E4" s="55" t="s">
        <v>91</v>
      </c>
      <c r="F4" s="55" t="s">
        <v>4</v>
      </c>
      <c r="G4" s="55" t="s">
        <v>5</v>
      </c>
      <c r="H4" s="55" t="s">
        <v>169</v>
      </c>
      <c r="I4" s="55" t="s">
        <v>6</v>
      </c>
      <c r="J4" s="55" t="s">
        <v>38</v>
      </c>
      <c r="K4" s="55" t="s">
        <v>168</v>
      </c>
      <c r="L4" s="56" t="s">
        <v>7</v>
      </c>
    </row>
    <row r="5" spans="1:12" ht="195" x14ac:dyDescent="0.25">
      <c r="A5" s="57">
        <v>1</v>
      </c>
      <c r="B5" s="58" t="s">
        <v>13</v>
      </c>
      <c r="C5" s="59" t="s">
        <v>14</v>
      </c>
      <c r="D5" s="59" t="s">
        <v>93</v>
      </c>
      <c r="E5" s="59" t="s">
        <v>94</v>
      </c>
      <c r="F5" s="60" t="s">
        <v>99</v>
      </c>
      <c r="G5" s="59">
        <v>4</v>
      </c>
      <c r="H5" s="59">
        <f>G5*2</f>
        <v>8</v>
      </c>
      <c r="I5" s="59" t="s">
        <v>187</v>
      </c>
      <c r="J5" s="44"/>
      <c r="K5" s="59">
        <f>J5*2</f>
        <v>0</v>
      </c>
      <c r="L5" s="61" t="s">
        <v>61</v>
      </c>
    </row>
    <row r="6" spans="1:12" ht="198.75" customHeight="1" x14ac:dyDescent="0.25">
      <c r="A6" s="57">
        <v>2</v>
      </c>
      <c r="B6" s="62" t="s">
        <v>18</v>
      </c>
      <c r="C6" s="59" t="s">
        <v>14</v>
      </c>
      <c r="D6" s="59" t="s">
        <v>93</v>
      </c>
      <c r="E6" s="59" t="s">
        <v>95</v>
      </c>
      <c r="F6" s="60" t="s">
        <v>119</v>
      </c>
      <c r="G6" s="59">
        <v>4</v>
      </c>
      <c r="H6" s="59">
        <f>G6*1.5</f>
        <v>6</v>
      </c>
      <c r="I6" s="59" t="s">
        <v>167</v>
      </c>
      <c r="J6" s="44"/>
      <c r="K6" s="59">
        <f>J6*1.5</f>
        <v>0</v>
      </c>
      <c r="L6" s="61" t="s">
        <v>66</v>
      </c>
    </row>
    <row r="7" spans="1:12" ht="186" customHeight="1" x14ac:dyDescent="0.25">
      <c r="A7" s="57">
        <v>3</v>
      </c>
      <c r="B7" s="63" t="s">
        <v>21</v>
      </c>
      <c r="C7" s="59" t="s">
        <v>14</v>
      </c>
      <c r="D7" s="59" t="s">
        <v>93</v>
      </c>
      <c r="E7" s="59" t="s">
        <v>120</v>
      </c>
      <c r="F7" s="60" t="s">
        <v>188</v>
      </c>
      <c r="G7" s="59">
        <v>4</v>
      </c>
      <c r="H7" s="59">
        <f>G7</f>
        <v>4</v>
      </c>
      <c r="I7" s="64" t="s">
        <v>189</v>
      </c>
      <c r="J7" s="44"/>
      <c r="K7" s="59">
        <f>J7</f>
        <v>0</v>
      </c>
      <c r="L7" s="61" t="s">
        <v>121</v>
      </c>
    </row>
    <row r="8" spans="1:12" ht="60" x14ac:dyDescent="0.25">
      <c r="A8" s="57">
        <v>4</v>
      </c>
      <c r="B8" s="63" t="s">
        <v>21</v>
      </c>
      <c r="C8" s="59" t="s">
        <v>14</v>
      </c>
      <c r="D8" s="59" t="s">
        <v>93</v>
      </c>
      <c r="E8" s="59" t="s">
        <v>120</v>
      </c>
      <c r="F8" s="60" t="s">
        <v>190</v>
      </c>
      <c r="G8" s="59">
        <v>4</v>
      </c>
      <c r="H8" s="59">
        <f>G8</f>
        <v>4</v>
      </c>
      <c r="I8" s="59" t="s">
        <v>135</v>
      </c>
      <c r="J8" s="44"/>
      <c r="K8" s="59">
        <f>J8</f>
        <v>0</v>
      </c>
      <c r="L8" s="61" t="s">
        <v>34</v>
      </c>
    </row>
    <row r="9" spans="1:12" ht="90" x14ac:dyDescent="0.25">
      <c r="A9" s="57">
        <v>5</v>
      </c>
      <c r="B9" s="58" t="s">
        <v>13</v>
      </c>
      <c r="C9" s="59" t="s">
        <v>14</v>
      </c>
      <c r="D9" s="59" t="s">
        <v>96</v>
      </c>
      <c r="E9" s="59" t="s">
        <v>92</v>
      </c>
      <c r="F9" s="60" t="s">
        <v>47</v>
      </c>
      <c r="G9" s="59">
        <v>4</v>
      </c>
      <c r="H9" s="59">
        <f>G9*2</f>
        <v>8</v>
      </c>
      <c r="I9" s="59" t="s">
        <v>136</v>
      </c>
      <c r="J9" s="44"/>
      <c r="K9" s="59">
        <f>J9*2</f>
        <v>0</v>
      </c>
      <c r="L9" s="61" t="s">
        <v>62</v>
      </c>
    </row>
    <row r="10" spans="1:12" ht="210" x14ac:dyDescent="0.25">
      <c r="A10" s="57">
        <v>6</v>
      </c>
      <c r="B10" s="62" t="s">
        <v>18</v>
      </c>
      <c r="C10" s="59" t="s">
        <v>14</v>
      </c>
      <c r="D10" s="59" t="s">
        <v>96</v>
      </c>
      <c r="E10" s="59" t="s">
        <v>97</v>
      </c>
      <c r="F10" s="60" t="s">
        <v>122</v>
      </c>
      <c r="G10" s="59">
        <v>4</v>
      </c>
      <c r="H10" s="59">
        <f>G10*1.5</f>
        <v>6</v>
      </c>
      <c r="I10" s="59" t="s">
        <v>173</v>
      </c>
      <c r="J10" s="44"/>
      <c r="K10" s="59">
        <f>J10*1.5</f>
        <v>0</v>
      </c>
      <c r="L10" s="61"/>
    </row>
    <row r="11" spans="1:12" ht="96" x14ac:dyDescent="0.25">
      <c r="A11" s="57">
        <v>7</v>
      </c>
      <c r="B11" s="63" t="s">
        <v>21</v>
      </c>
      <c r="C11" s="59" t="s">
        <v>14</v>
      </c>
      <c r="D11" s="59" t="s">
        <v>96</v>
      </c>
      <c r="E11" s="59" t="s">
        <v>98</v>
      </c>
      <c r="F11" s="60" t="s">
        <v>87</v>
      </c>
      <c r="G11" s="59">
        <v>4</v>
      </c>
      <c r="H11" s="59">
        <f>G11</f>
        <v>4</v>
      </c>
      <c r="I11" s="59" t="s">
        <v>137</v>
      </c>
      <c r="J11" s="44"/>
      <c r="K11" s="59">
        <f>J11</f>
        <v>0</v>
      </c>
      <c r="L11" s="61" t="s">
        <v>86</v>
      </c>
    </row>
    <row r="12" spans="1:12" ht="150" x14ac:dyDescent="0.25">
      <c r="A12" s="57">
        <v>8</v>
      </c>
      <c r="B12" s="58" t="s">
        <v>13</v>
      </c>
      <c r="C12" s="59" t="s">
        <v>14</v>
      </c>
      <c r="D12" s="59" t="s">
        <v>100</v>
      </c>
      <c r="E12" s="59" t="s">
        <v>101</v>
      </c>
      <c r="F12" s="60" t="s">
        <v>88</v>
      </c>
      <c r="G12" s="59">
        <v>4</v>
      </c>
      <c r="H12" s="59">
        <f>G12*2</f>
        <v>8</v>
      </c>
      <c r="I12" s="59" t="s">
        <v>138</v>
      </c>
      <c r="J12" s="44"/>
      <c r="K12" s="59">
        <f>J12*2</f>
        <v>0</v>
      </c>
      <c r="L12" s="61" t="s">
        <v>63</v>
      </c>
    </row>
    <row r="13" spans="1:12" ht="120" x14ac:dyDescent="0.25">
      <c r="A13" s="57">
        <v>9</v>
      </c>
      <c r="B13" s="63" t="s">
        <v>21</v>
      </c>
      <c r="C13" s="59" t="s">
        <v>14</v>
      </c>
      <c r="D13" s="59" t="s">
        <v>100</v>
      </c>
      <c r="E13" s="59" t="s">
        <v>104</v>
      </c>
      <c r="F13" s="60" t="s">
        <v>89</v>
      </c>
      <c r="G13" s="59">
        <v>4</v>
      </c>
      <c r="H13" s="59">
        <f>G13</f>
        <v>4</v>
      </c>
      <c r="I13" s="59" t="s">
        <v>139</v>
      </c>
      <c r="J13" s="44"/>
      <c r="K13" s="59">
        <f>J13</f>
        <v>0</v>
      </c>
      <c r="L13" s="61"/>
    </row>
    <row r="14" spans="1:12" ht="165" x14ac:dyDescent="0.25">
      <c r="A14" s="57">
        <v>10</v>
      </c>
      <c r="B14" s="62" t="s">
        <v>18</v>
      </c>
      <c r="C14" s="59" t="s">
        <v>14</v>
      </c>
      <c r="D14" s="59" t="s">
        <v>100</v>
      </c>
      <c r="E14" s="59" t="s">
        <v>102</v>
      </c>
      <c r="F14" s="60" t="s">
        <v>90</v>
      </c>
      <c r="G14" s="59">
        <v>4</v>
      </c>
      <c r="H14" s="59">
        <f>G14*1.5</f>
        <v>6</v>
      </c>
      <c r="I14" s="59" t="s">
        <v>140</v>
      </c>
      <c r="J14" s="44"/>
      <c r="K14" s="59">
        <f>J14*1.5</f>
        <v>0</v>
      </c>
      <c r="L14" s="61" t="s">
        <v>67</v>
      </c>
    </row>
    <row r="15" spans="1:12" ht="90" x14ac:dyDescent="0.25">
      <c r="A15" s="57">
        <v>11</v>
      </c>
      <c r="B15" s="63" t="s">
        <v>21</v>
      </c>
      <c r="C15" s="59" t="s">
        <v>14</v>
      </c>
      <c r="D15" s="59" t="s">
        <v>100</v>
      </c>
      <c r="E15" s="59" t="s">
        <v>103</v>
      </c>
      <c r="F15" s="60" t="s">
        <v>123</v>
      </c>
      <c r="G15" s="59">
        <v>4</v>
      </c>
      <c r="H15" s="59">
        <f>G15</f>
        <v>4</v>
      </c>
      <c r="I15" s="59" t="s">
        <v>141</v>
      </c>
      <c r="J15" s="44"/>
      <c r="K15" s="59">
        <f>J15</f>
        <v>0</v>
      </c>
      <c r="L15" s="61" t="s">
        <v>78</v>
      </c>
    </row>
    <row r="16" spans="1:12" ht="76.5" customHeight="1" x14ac:dyDescent="0.25">
      <c r="A16" s="57">
        <v>12</v>
      </c>
      <c r="B16" s="58" t="s">
        <v>13</v>
      </c>
      <c r="C16" s="59" t="s">
        <v>14</v>
      </c>
      <c r="D16" s="59" t="s">
        <v>106</v>
      </c>
      <c r="E16" s="59" t="s">
        <v>105</v>
      </c>
      <c r="F16" s="60" t="s">
        <v>49</v>
      </c>
      <c r="G16" s="59">
        <v>4</v>
      </c>
      <c r="H16" s="59">
        <f>G16*2</f>
        <v>8</v>
      </c>
      <c r="I16" s="59" t="s">
        <v>142</v>
      </c>
      <c r="J16" s="44"/>
      <c r="K16" s="59">
        <f>J16*2</f>
        <v>0</v>
      </c>
      <c r="L16" s="61" t="s">
        <v>64</v>
      </c>
    </row>
    <row r="17" spans="1:12" ht="84" customHeight="1" x14ac:dyDescent="0.25">
      <c r="A17" s="57">
        <v>13</v>
      </c>
      <c r="B17" s="58" t="s">
        <v>13</v>
      </c>
      <c r="C17" s="64" t="s">
        <v>14</v>
      </c>
      <c r="D17" s="59" t="s">
        <v>106</v>
      </c>
      <c r="E17" s="64" t="s">
        <v>107</v>
      </c>
      <c r="F17" s="65" t="s">
        <v>77</v>
      </c>
      <c r="G17" s="64">
        <v>4</v>
      </c>
      <c r="H17" s="64">
        <f>G17*2</f>
        <v>8</v>
      </c>
      <c r="I17" s="64" t="s">
        <v>143</v>
      </c>
      <c r="J17" s="44"/>
      <c r="K17" s="64">
        <f>J17*2</f>
        <v>0</v>
      </c>
      <c r="L17" s="66" t="s">
        <v>65</v>
      </c>
    </row>
    <row r="18" spans="1:12" ht="45" x14ac:dyDescent="0.25">
      <c r="A18" s="57">
        <v>14</v>
      </c>
      <c r="B18" s="62" t="s">
        <v>18</v>
      </c>
      <c r="C18" s="59" t="s">
        <v>14</v>
      </c>
      <c r="D18" s="59" t="s">
        <v>106</v>
      </c>
      <c r="E18" s="59" t="s">
        <v>108</v>
      </c>
      <c r="F18" s="60" t="s">
        <v>50</v>
      </c>
      <c r="G18" s="59">
        <v>4</v>
      </c>
      <c r="H18" s="59">
        <f>G18*1.5</f>
        <v>6</v>
      </c>
      <c r="I18" s="59" t="s">
        <v>144</v>
      </c>
      <c r="J18" s="44"/>
      <c r="K18" s="59">
        <f>J18*1.5</f>
        <v>0</v>
      </c>
      <c r="L18" s="61"/>
    </row>
    <row r="19" spans="1:12" ht="120" x14ac:dyDescent="0.25">
      <c r="A19" s="57">
        <v>15</v>
      </c>
      <c r="B19" s="62" t="s">
        <v>18</v>
      </c>
      <c r="C19" s="59" t="s">
        <v>14</v>
      </c>
      <c r="D19" s="59" t="s">
        <v>106</v>
      </c>
      <c r="E19" s="59" t="s">
        <v>109</v>
      </c>
      <c r="F19" s="60" t="s">
        <v>124</v>
      </c>
      <c r="G19" s="59">
        <v>4</v>
      </c>
      <c r="H19" s="59">
        <f>G19*1.5</f>
        <v>6</v>
      </c>
      <c r="I19" s="59" t="s">
        <v>191</v>
      </c>
      <c r="J19" s="44"/>
      <c r="K19" s="59">
        <f>J19*1.5</f>
        <v>0</v>
      </c>
      <c r="L19" s="61" t="s">
        <v>73</v>
      </c>
    </row>
    <row r="20" spans="1:12" ht="135" x14ac:dyDescent="0.25">
      <c r="A20" s="57">
        <v>16</v>
      </c>
      <c r="B20" s="63" t="s">
        <v>21</v>
      </c>
      <c r="C20" s="59" t="s">
        <v>14</v>
      </c>
      <c r="D20" s="59" t="s">
        <v>106</v>
      </c>
      <c r="E20" s="59" t="s">
        <v>110</v>
      </c>
      <c r="F20" s="60" t="s">
        <v>125</v>
      </c>
      <c r="G20" s="59">
        <v>4</v>
      </c>
      <c r="H20" s="59">
        <f>G20</f>
        <v>4</v>
      </c>
      <c r="I20" s="59" t="s">
        <v>174</v>
      </c>
      <c r="J20" s="44"/>
      <c r="K20" s="59">
        <f>J20</f>
        <v>0</v>
      </c>
      <c r="L20" s="61" t="s">
        <v>69</v>
      </c>
    </row>
    <row r="21" spans="1:12" ht="120" x14ac:dyDescent="0.25">
      <c r="A21" s="57">
        <v>17</v>
      </c>
      <c r="B21" s="63" t="s">
        <v>21</v>
      </c>
      <c r="C21" s="59" t="s">
        <v>14</v>
      </c>
      <c r="D21" s="59" t="s">
        <v>106</v>
      </c>
      <c r="E21" s="59" t="s">
        <v>111</v>
      </c>
      <c r="F21" s="60" t="s">
        <v>126</v>
      </c>
      <c r="G21" s="59">
        <v>4</v>
      </c>
      <c r="H21" s="59">
        <f>G21</f>
        <v>4</v>
      </c>
      <c r="I21" s="59" t="s">
        <v>145</v>
      </c>
      <c r="J21" s="44"/>
      <c r="K21" s="59">
        <f>J21</f>
        <v>0</v>
      </c>
      <c r="L21" s="61" t="s">
        <v>68</v>
      </c>
    </row>
    <row r="22" spans="1:12" ht="134.25" customHeight="1" x14ac:dyDescent="0.25">
      <c r="A22" s="57">
        <v>18</v>
      </c>
      <c r="B22" s="62" t="s">
        <v>18</v>
      </c>
      <c r="C22" s="59" t="s">
        <v>14</v>
      </c>
      <c r="D22" s="59" t="s">
        <v>112</v>
      </c>
      <c r="E22" s="59" t="s">
        <v>127</v>
      </c>
      <c r="F22" s="60" t="s">
        <v>192</v>
      </c>
      <c r="G22" s="59">
        <v>4</v>
      </c>
      <c r="H22" s="59">
        <f>G22*1.5</f>
        <v>6</v>
      </c>
      <c r="I22" s="64" t="s">
        <v>193</v>
      </c>
      <c r="J22" s="44"/>
      <c r="K22" s="59">
        <f>J22*1.5</f>
        <v>0</v>
      </c>
      <c r="L22" s="61" t="s">
        <v>134</v>
      </c>
    </row>
    <row r="23" spans="1:12" ht="150" x14ac:dyDescent="0.25">
      <c r="A23" s="57">
        <v>19</v>
      </c>
      <c r="B23" s="58" t="s">
        <v>13</v>
      </c>
      <c r="C23" s="59" t="s">
        <v>14</v>
      </c>
      <c r="D23" s="59" t="s">
        <v>112</v>
      </c>
      <c r="E23" s="59" t="s">
        <v>128</v>
      </c>
      <c r="F23" s="60" t="s">
        <v>129</v>
      </c>
      <c r="G23" s="59">
        <v>4</v>
      </c>
      <c r="H23" s="59">
        <f>G23*2</f>
        <v>8</v>
      </c>
      <c r="I23" s="59" t="s">
        <v>175</v>
      </c>
      <c r="J23" s="44"/>
      <c r="K23" s="59">
        <f>J23*2</f>
        <v>0</v>
      </c>
      <c r="L23" s="61"/>
    </row>
    <row r="24" spans="1:12" ht="45" x14ac:dyDescent="0.25">
      <c r="A24" s="57">
        <v>20</v>
      </c>
      <c r="B24" s="63" t="s">
        <v>21</v>
      </c>
      <c r="C24" s="59" t="s">
        <v>14</v>
      </c>
      <c r="D24" s="59" t="s">
        <v>112</v>
      </c>
      <c r="E24" s="59" t="s">
        <v>130</v>
      </c>
      <c r="F24" s="60" t="s">
        <v>131</v>
      </c>
      <c r="G24" s="59">
        <v>4</v>
      </c>
      <c r="H24" s="59">
        <f>G24</f>
        <v>4</v>
      </c>
      <c r="I24" s="59" t="s">
        <v>146</v>
      </c>
      <c r="J24" s="44"/>
      <c r="K24" s="59">
        <f>J24</f>
        <v>0</v>
      </c>
      <c r="L24" s="61"/>
    </row>
    <row r="25" spans="1:12" ht="172.5" customHeight="1" x14ac:dyDescent="0.25">
      <c r="A25" s="57">
        <v>21</v>
      </c>
      <c r="B25" s="62" t="s">
        <v>18</v>
      </c>
      <c r="C25" s="59" t="s">
        <v>14</v>
      </c>
      <c r="D25" s="59" t="s">
        <v>112</v>
      </c>
      <c r="E25" s="59" t="s">
        <v>132</v>
      </c>
      <c r="F25" s="60" t="s">
        <v>176</v>
      </c>
      <c r="G25" s="59">
        <v>4</v>
      </c>
      <c r="H25" s="59">
        <f>G25*1.5</f>
        <v>6</v>
      </c>
      <c r="I25" s="59" t="s">
        <v>177</v>
      </c>
      <c r="J25" s="44"/>
      <c r="K25" s="59">
        <f>J25*1.5</f>
        <v>0</v>
      </c>
      <c r="L25" s="61" t="s">
        <v>133</v>
      </c>
    </row>
    <row r="26" spans="1:12" ht="21" x14ac:dyDescent="0.35">
      <c r="A26" s="67"/>
      <c r="B26" s="67"/>
      <c r="C26" s="68"/>
      <c r="D26" s="69"/>
      <c r="E26" s="69"/>
      <c r="F26" s="70"/>
      <c r="G26" s="71">
        <f>SUM(G5:G25)</f>
        <v>84</v>
      </c>
      <c r="H26" s="71">
        <f>SUM(H5:H25)</f>
        <v>122</v>
      </c>
      <c r="I26" s="72"/>
      <c r="J26" s="73">
        <f>SUM(J5:J25)</f>
        <v>0</v>
      </c>
      <c r="K26" s="71">
        <f>SUM(K5:K25)</f>
        <v>0</v>
      </c>
      <c r="L26" s="69"/>
    </row>
    <row r="27" spans="1:12" ht="33" x14ac:dyDescent="0.35">
      <c r="A27" s="67"/>
      <c r="B27" s="67"/>
      <c r="C27" s="68"/>
      <c r="D27" s="69"/>
      <c r="E27" s="69"/>
      <c r="F27" s="70"/>
      <c r="G27" s="74" t="s">
        <v>170</v>
      </c>
      <c r="H27" s="74" t="s">
        <v>171</v>
      </c>
      <c r="I27" s="72"/>
      <c r="J27" s="74" t="s">
        <v>172</v>
      </c>
      <c r="K27" s="74" t="s">
        <v>178</v>
      </c>
      <c r="L27" s="69"/>
    </row>
  </sheetData>
  <sheetProtection sheet="1" selectLockedCells="1"/>
  <autoFilter ref="A4:L4">
    <sortState ref="A5:J26">
      <sortCondition ref="A4"/>
    </sortState>
  </autoFilter>
  <mergeCells count="3">
    <mergeCell ref="D1:L1"/>
    <mergeCell ref="A2:B2"/>
    <mergeCell ref="A3:B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L27"/>
  <sheetViews>
    <sheetView zoomScale="80" zoomScaleNormal="80" workbookViewId="0">
      <selection activeCell="J6" sqref="J6"/>
    </sheetView>
  </sheetViews>
  <sheetFormatPr defaultRowHeight="15" x14ac:dyDescent="0.25"/>
  <cols>
    <col min="2" max="5" width="20.7109375" customWidth="1"/>
    <col min="6" max="6" width="30.7109375" customWidth="1"/>
    <col min="7" max="8" width="20.7109375" customWidth="1"/>
    <col min="9" max="9" width="30.7109375" customWidth="1"/>
    <col min="10" max="10" width="20.7109375" customWidth="1"/>
    <col min="11" max="11" width="26.42578125" customWidth="1"/>
    <col min="12" max="12" width="60.7109375" customWidth="1"/>
  </cols>
  <sheetData>
    <row r="1" spans="1:12" ht="78.75" customHeight="1" x14ac:dyDescent="0.25">
      <c r="A1" s="45"/>
      <c r="B1" s="46"/>
      <c r="C1" s="46"/>
      <c r="D1" s="47" t="s">
        <v>210</v>
      </c>
      <c r="E1" s="47"/>
      <c r="F1" s="47"/>
      <c r="G1" s="47"/>
      <c r="H1" s="47"/>
      <c r="I1" s="47"/>
      <c r="J1" s="47"/>
      <c r="K1" s="47"/>
      <c r="L1" s="48"/>
    </row>
    <row r="2" spans="1:12" x14ac:dyDescent="0.25">
      <c r="A2" s="49" t="s">
        <v>45</v>
      </c>
      <c r="B2" s="50"/>
      <c r="C2" s="51">
        <f>'Final Scoring'!C2</f>
        <v>0</v>
      </c>
      <c r="D2" s="52"/>
      <c r="E2" s="52"/>
      <c r="F2" s="52"/>
      <c r="G2" s="52"/>
      <c r="H2" s="52"/>
      <c r="I2" s="52"/>
      <c r="J2" s="52"/>
      <c r="K2" s="52"/>
      <c r="L2" s="53"/>
    </row>
    <row r="3" spans="1:12" x14ac:dyDescent="0.25">
      <c r="A3" s="49" t="s">
        <v>39</v>
      </c>
      <c r="B3" s="50"/>
      <c r="C3" s="51">
        <f>'Final Scoring'!C3</f>
        <v>0</v>
      </c>
      <c r="D3" s="52"/>
      <c r="E3" s="52"/>
      <c r="F3" s="52"/>
      <c r="G3" s="52"/>
      <c r="H3" s="52"/>
      <c r="I3" s="52"/>
      <c r="J3" s="52"/>
      <c r="K3" s="52"/>
      <c r="L3" s="53"/>
    </row>
    <row r="4" spans="1:12" ht="45" x14ac:dyDescent="0.25">
      <c r="A4" s="54" t="s">
        <v>0</v>
      </c>
      <c r="B4" s="55" t="s">
        <v>1</v>
      </c>
      <c r="C4" s="55" t="s">
        <v>2</v>
      </c>
      <c r="D4" s="55" t="s">
        <v>3</v>
      </c>
      <c r="E4" s="55" t="s">
        <v>91</v>
      </c>
      <c r="F4" s="55" t="s">
        <v>4</v>
      </c>
      <c r="G4" s="55" t="s">
        <v>5</v>
      </c>
      <c r="H4" s="55" t="s">
        <v>169</v>
      </c>
      <c r="I4" s="55" t="s">
        <v>6</v>
      </c>
      <c r="J4" s="55" t="s">
        <v>38</v>
      </c>
      <c r="K4" s="55" t="s">
        <v>168</v>
      </c>
      <c r="L4" s="56" t="s">
        <v>7</v>
      </c>
    </row>
    <row r="5" spans="1:12" ht="195" x14ac:dyDescent="0.25">
      <c r="A5" s="57">
        <v>1</v>
      </c>
      <c r="B5" s="58" t="s">
        <v>13</v>
      </c>
      <c r="C5" s="59" t="s">
        <v>14</v>
      </c>
      <c r="D5" s="59" t="s">
        <v>93</v>
      </c>
      <c r="E5" s="59" t="s">
        <v>94</v>
      </c>
      <c r="F5" s="60" t="s">
        <v>99</v>
      </c>
      <c r="G5" s="59">
        <v>4</v>
      </c>
      <c r="H5" s="59">
        <f>G5*2</f>
        <v>8</v>
      </c>
      <c r="I5" s="59" t="s">
        <v>187</v>
      </c>
      <c r="J5" s="44"/>
      <c r="K5" s="59">
        <f>J5*2</f>
        <v>0</v>
      </c>
      <c r="L5" s="61" t="s">
        <v>61</v>
      </c>
    </row>
    <row r="6" spans="1:12" ht="198.75" customHeight="1" x14ac:dyDescent="0.25">
      <c r="A6" s="57">
        <v>2</v>
      </c>
      <c r="B6" s="62" t="s">
        <v>18</v>
      </c>
      <c r="C6" s="59" t="s">
        <v>14</v>
      </c>
      <c r="D6" s="59" t="s">
        <v>93</v>
      </c>
      <c r="E6" s="59" t="s">
        <v>95</v>
      </c>
      <c r="F6" s="60" t="s">
        <v>119</v>
      </c>
      <c r="G6" s="59">
        <v>4</v>
      </c>
      <c r="H6" s="59">
        <f>G6*1.5</f>
        <v>6</v>
      </c>
      <c r="I6" s="59" t="s">
        <v>167</v>
      </c>
      <c r="J6" s="44"/>
      <c r="K6" s="59">
        <f>J6*1.5</f>
        <v>0</v>
      </c>
      <c r="L6" s="61" t="s">
        <v>66</v>
      </c>
    </row>
    <row r="7" spans="1:12" ht="186" customHeight="1" x14ac:dyDescent="0.25">
      <c r="A7" s="57">
        <v>3</v>
      </c>
      <c r="B7" s="63" t="s">
        <v>21</v>
      </c>
      <c r="C7" s="59" t="s">
        <v>14</v>
      </c>
      <c r="D7" s="59" t="s">
        <v>93</v>
      </c>
      <c r="E7" s="59" t="s">
        <v>120</v>
      </c>
      <c r="F7" s="60" t="s">
        <v>188</v>
      </c>
      <c r="G7" s="59">
        <v>4</v>
      </c>
      <c r="H7" s="59">
        <f>G7</f>
        <v>4</v>
      </c>
      <c r="I7" s="64" t="s">
        <v>189</v>
      </c>
      <c r="J7" s="44"/>
      <c r="K7" s="59">
        <f>J7</f>
        <v>0</v>
      </c>
      <c r="L7" s="61" t="s">
        <v>121</v>
      </c>
    </row>
    <row r="8" spans="1:12" ht="60" x14ac:dyDescent="0.25">
      <c r="A8" s="57">
        <v>4</v>
      </c>
      <c r="B8" s="63" t="s">
        <v>21</v>
      </c>
      <c r="C8" s="59" t="s">
        <v>14</v>
      </c>
      <c r="D8" s="59" t="s">
        <v>93</v>
      </c>
      <c r="E8" s="59" t="s">
        <v>120</v>
      </c>
      <c r="F8" s="60" t="s">
        <v>190</v>
      </c>
      <c r="G8" s="59">
        <v>4</v>
      </c>
      <c r="H8" s="59">
        <f>G8</f>
        <v>4</v>
      </c>
      <c r="I8" s="59" t="s">
        <v>135</v>
      </c>
      <c r="J8" s="44"/>
      <c r="K8" s="59">
        <f>J8</f>
        <v>0</v>
      </c>
      <c r="L8" s="61" t="s">
        <v>34</v>
      </c>
    </row>
    <row r="9" spans="1:12" ht="90" x14ac:dyDescent="0.25">
      <c r="A9" s="57">
        <v>5</v>
      </c>
      <c r="B9" s="58" t="s">
        <v>13</v>
      </c>
      <c r="C9" s="59" t="s">
        <v>14</v>
      </c>
      <c r="D9" s="59" t="s">
        <v>96</v>
      </c>
      <c r="E9" s="59" t="s">
        <v>92</v>
      </c>
      <c r="F9" s="60" t="s">
        <v>47</v>
      </c>
      <c r="G9" s="59">
        <v>4</v>
      </c>
      <c r="H9" s="59">
        <f>G9*2</f>
        <v>8</v>
      </c>
      <c r="I9" s="59" t="s">
        <v>136</v>
      </c>
      <c r="J9" s="44"/>
      <c r="K9" s="59">
        <f>J9*2</f>
        <v>0</v>
      </c>
      <c r="L9" s="61" t="s">
        <v>62</v>
      </c>
    </row>
    <row r="10" spans="1:12" ht="210" x14ac:dyDescent="0.25">
      <c r="A10" s="57">
        <v>6</v>
      </c>
      <c r="B10" s="62" t="s">
        <v>18</v>
      </c>
      <c r="C10" s="59" t="s">
        <v>14</v>
      </c>
      <c r="D10" s="59" t="s">
        <v>96</v>
      </c>
      <c r="E10" s="59" t="s">
        <v>97</v>
      </c>
      <c r="F10" s="60" t="s">
        <v>122</v>
      </c>
      <c r="G10" s="59">
        <v>4</v>
      </c>
      <c r="H10" s="59">
        <f>G10*1.5</f>
        <v>6</v>
      </c>
      <c r="I10" s="59" t="s">
        <v>173</v>
      </c>
      <c r="J10" s="44"/>
      <c r="K10" s="59">
        <f>J10*1.5</f>
        <v>0</v>
      </c>
      <c r="L10" s="61"/>
    </row>
    <row r="11" spans="1:12" ht="96" x14ac:dyDescent="0.25">
      <c r="A11" s="57">
        <v>7</v>
      </c>
      <c r="B11" s="63" t="s">
        <v>21</v>
      </c>
      <c r="C11" s="59" t="s">
        <v>14</v>
      </c>
      <c r="D11" s="59" t="s">
        <v>96</v>
      </c>
      <c r="E11" s="59" t="s">
        <v>98</v>
      </c>
      <c r="F11" s="60" t="s">
        <v>87</v>
      </c>
      <c r="G11" s="59">
        <v>4</v>
      </c>
      <c r="H11" s="59">
        <f>G11</f>
        <v>4</v>
      </c>
      <c r="I11" s="59" t="s">
        <v>137</v>
      </c>
      <c r="J11" s="44"/>
      <c r="K11" s="59">
        <f>J11</f>
        <v>0</v>
      </c>
      <c r="L11" s="61" t="s">
        <v>86</v>
      </c>
    </row>
    <row r="12" spans="1:12" ht="150" x14ac:dyDescent="0.25">
      <c r="A12" s="57">
        <v>8</v>
      </c>
      <c r="B12" s="58" t="s">
        <v>13</v>
      </c>
      <c r="C12" s="59" t="s">
        <v>14</v>
      </c>
      <c r="D12" s="59" t="s">
        <v>100</v>
      </c>
      <c r="E12" s="59" t="s">
        <v>101</v>
      </c>
      <c r="F12" s="60" t="s">
        <v>88</v>
      </c>
      <c r="G12" s="59">
        <v>4</v>
      </c>
      <c r="H12" s="59">
        <f>G12*2</f>
        <v>8</v>
      </c>
      <c r="I12" s="59" t="s">
        <v>138</v>
      </c>
      <c r="J12" s="44"/>
      <c r="K12" s="59">
        <f>J12*2</f>
        <v>0</v>
      </c>
      <c r="L12" s="61" t="s">
        <v>63</v>
      </c>
    </row>
    <row r="13" spans="1:12" ht="120" x14ac:dyDescent="0.25">
      <c r="A13" s="57">
        <v>9</v>
      </c>
      <c r="B13" s="63" t="s">
        <v>21</v>
      </c>
      <c r="C13" s="59" t="s">
        <v>14</v>
      </c>
      <c r="D13" s="59" t="s">
        <v>100</v>
      </c>
      <c r="E13" s="59" t="s">
        <v>104</v>
      </c>
      <c r="F13" s="60" t="s">
        <v>89</v>
      </c>
      <c r="G13" s="59">
        <v>4</v>
      </c>
      <c r="H13" s="59">
        <f>G13</f>
        <v>4</v>
      </c>
      <c r="I13" s="59" t="s">
        <v>139</v>
      </c>
      <c r="J13" s="44"/>
      <c r="K13" s="59">
        <f>J13</f>
        <v>0</v>
      </c>
      <c r="L13" s="61"/>
    </row>
    <row r="14" spans="1:12" ht="165" x14ac:dyDescent="0.25">
      <c r="A14" s="57">
        <v>10</v>
      </c>
      <c r="B14" s="62" t="s">
        <v>18</v>
      </c>
      <c r="C14" s="59" t="s">
        <v>14</v>
      </c>
      <c r="D14" s="59" t="s">
        <v>100</v>
      </c>
      <c r="E14" s="59" t="s">
        <v>102</v>
      </c>
      <c r="F14" s="60" t="s">
        <v>90</v>
      </c>
      <c r="G14" s="59">
        <v>4</v>
      </c>
      <c r="H14" s="59">
        <f>G14*1.5</f>
        <v>6</v>
      </c>
      <c r="I14" s="59" t="s">
        <v>140</v>
      </c>
      <c r="J14" s="44"/>
      <c r="K14" s="59">
        <f>J14*1.5</f>
        <v>0</v>
      </c>
      <c r="L14" s="61" t="s">
        <v>67</v>
      </c>
    </row>
    <row r="15" spans="1:12" ht="90" x14ac:dyDescent="0.25">
      <c r="A15" s="57">
        <v>11</v>
      </c>
      <c r="B15" s="63" t="s">
        <v>21</v>
      </c>
      <c r="C15" s="59" t="s">
        <v>14</v>
      </c>
      <c r="D15" s="59" t="s">
        <v>100</v>
      </c>
      <c r="E15" s="59" t="s">
        <v>103</v>
      </c>
      <c r="F15" s="60" t="s">
        <v>123</v>
      </c>
      <c r="G15" s="59">
        <v>4</v>
      </c>
      <c r="H15" s="59">
        <f>G15</f>
        <v>4</v>
      </c>
      <c r="I15" s="59" t="s">
        <v>141</v>
      </c>
      <c r="J15" s="44"/>
      <c r="K15" s="59">
        <f>J15</f>
        <v>0</v>
      </c>
      <c r="L15" s="61" t="s">
        <v>78</v>
      </c>
    </row>
    <row r="16" spans="1:12" ht="80.25" customHeight="1" x14ac:dyDescent="0.25">
      <c r="A16" s="57">
        <v>12</v>
      </c>
      <c r="B16" s="58" t="s">
        <v>13</v>
      </c>
      <c r="C16" s="59" t="s">
        <v>14</v>
      </c>
      <c r="D16" s="59" t="s">
        <v>106</v>
      </c>
      <c r="E16" s="59" t="s">
        <v>105</v>
      </c>
      <c r="F16" s="60" t="s">
        <v>49</v>
      </c>
      <c r="G16" s="59">
        <v>4</v>
      </c>
      <c r="H16" s="59">
        <f>G16*2</f>
        <v>8</v>
      </c>
      <c r="I16" s="59" t="s">
        <v>142</v>
      </c>
      <c r="J16" s="44"/>
      <c r="K16" s="59">
        <f>J16*2</f>
        <v>0</v>
      </c>
      <c r="L16" s="61" t="s">
        <v>64</v>
      </c>
    </row>
    <row r="17" spans="1:12" ht="84" customHeight="1" x14ac:dyDescent="0.25">
      <c r="A17" s="57">
        <v>13</v>
      </c>
      <c r="B17" s="58" t="s">
        <v>13</v>
      </c>
      <c r="C17" s="64" t="s">
        <v>14</v>
      </c>
      <c r="D17" s="59" t="s">
        <v>106</v>
      </c>
      <c r="E17" s="64" t="s">
        <v>107</v>
      </c>
      <c r="F17" s="65" t="s">
        <v>77</v>
      </c>
      <c r="G17" s="64">
        <v>4</v>
      </c>
      <c r="H17" s="64">
        <f>G17*2</f>
        <v>8</v>
      </c>
      <c r="I17" s="64" t="s">
        <v>143</v>
      </c>
      <c r="J17" s="44"/>
      <c r="K17" s="64">
        <f>J17*2</f>
        <v>0</v>
      </c>
      <c r="L17" s="66" t="s">
        <v>65</v>
      </c>
    </row>
    <row r="18" spans="1:12" ht="45" x14ac:dyDescent="0.25">
      <c r="A18" s="57">
        <v>14</v>
      </c>
      <c r="B18" s="62" t="s">
        <v>18</v>
      </c>
      <c r="C18" s="59" t="s">
        <v>14</v>
      </c>
      <c r="D18" s="59" t="s">
        <v>106</v>
      </c>
      <c r="E18" s="59" t="s">
        <v>108</v>
      </c>
      <c r="F18" s="60" t="s">
        <v>50</v>
      </c>
      <c r="G18" s="59">
        <v>4</v>
      </c>
      <c r="H18" s="59">
        <f>G18*1.5</f>
        <v>6</v>
      </c>
      <c r="I18" s="59" t="s">
        <v>144</v>
      </c>
      <c r="J18" s="44"/>
      <c r="K18" s="59">
        <f>J18*1.5</f>
        <v>0</v>
      </c>
      <c r="L18" s="61"/>
    </row>
    <row r="19" spans="1:12" ht="120" x14ac:dyDescent="0.25">
      <c r="A19" s="57">
        <v>15</v>
      </c>
      <c r="B19" s="62" t="s">
        <v>18</v>
      </c>
      <c r="C19" s="59" t="s">
        <v>14</v>
      </c>
      <c r="D19" s="59" t="s">
        <v>106</v>
      </c>
      <c r="E19" s="59" t="s">
        <v>109</v>
      </c>
      <c r="F19" s="60" t="s">
        <v>124</v>
      </c>
      <c r="G19" s="59">
        <v>4</v>
      </c>
      <c r="H19" s="59">
        <f>G19*1.5</f>
        <v>6</v>
      </c>
      <c r="I19" s="59" t="s">
        <v>191</v>
      </c>
      <c r="J19" s="44"/>
      <c r="K19" s="59">
        <f>J19*1.5</f>
        <v>0</v>
      </c>
      <c r="L19" s="61" t="s">
        <v>73</v>
      </c>
    </row>
    <row r="20" spans="1:12" ht="135" x14ac:dyDescent="0.25">
      <c r="A20" s="57">
        <v>16</v>
      </c>
      <c r="B20" s="63" t="s">
        <v>21</v>
      </c>
      <c r="C20" s="59" t="s">
        <v>14</v>
      </c>
      <c r="D20" s="59" t="s">
        <v>106</v>
      </c>
      <c r="E20" s="59" t="s">
        <v>110</v>
      </c>
      <c r="F20" s="60" t="s">
        <v>125</v>
      </c>
      <c r="G20" s="59">
        <v>4</v>
      </c>
      <c r="H20" s="59">
        <f>G20</f>
        <v>4</v>
      </c>
      <c r="I20" s="59" t="s">
        <v>174</v>
      </c>
      <c r="J20" s="44"/>
      <c r="K20" s="59">
        <f>J20</f>
        <v>0</v>
      </c>
      <c r="L20" s="61" t="s">
        <v>69</v>
      </c>
    </row>
    <row r="21" spans="1:12" ht="120" x14ac:dyDescent="0.25">
      <c r="A21" s="57">
        <v>17</v>
      </c>
      <c r="B21" s="63" t="s">
        <v>21</v>
      </c>
      <c r="C21" s="59" t="s">
        <v>14</v>
      </c>
      <c r="D21" s="59" t="s">
        <v>106</v>
      </c>
      <c r="E21" s="59" t="s">
        <v>111</v>
      </c>
      <c r="F21" s="60" t="s">
        <v>126</v>
      </c>
      <c r="G21" s="59">
        <v>4</v>
      </c>
      <c r="H21" s="59">
        <f>G21</f>
        <v>4</v>
      </c>
      <c r="I21" s="59" t="s">
        <v>145</v>
      </c>
      <c r="J21" s="44"/>
      <c r="K21" s="59">
        <f>J21</f>
        <v>0</v>
      </c>
      <c r="L21" s="61" t="s">
        <v>68</v>
      </c>
    </row>
    <row r="22" spans="1:12" ht="134.25" customHeight="1" x14ac:dyDescent="0.25">
      <c r="A22" s="57">
        <v>18</v>
      </c>
      <c r="B22" s="62" t="s">
        <v>18</v>
      </c>
      <c r="C22" s="59" t="s">
        <v>14</v>
      </c>
      <c r="D22" s="59" t="s">
        <v>112</v>
      </c>
      <c r="E22" s="59" t="s">
        <v>127</v>
      </c>
      <c r="F22" s="60" t="s">
        <v>192</v>
      </c>
      <c r="G22" s="59">
        <v>4</v>
      </c>
      <c r="H22" s="59">
        <f>G22*1.5</f>
        <v>6</v>
      </c>
      <c r="I22" s="64" t="s">
        <v>193</v>
      </c>
      <c r="J22" s="44"/>
      <c r="K22" s="59">
        <f>J22*1.5</f>
        <v>0</v>
      </c>
      <c r="L22" s="61" t="s">
        <v>134</v>
      </c>
    </row>
    <row r="23" spans="1:12" ht="150" x14ac:dyDescent="0.25">
      <c r="A23" s="57">
        <v>19</v>
      </c>
      <c r="B23" s="58" t="s">
        <v>13</v>
      </c>
      <c r="C23" s="59" t="s">
        <v>14</v>
      </c>
      <c r="D23" s="59" t="s">
        <v>112</v>
      </c>
      <c r="E23" s="59" t="s">
        <v>128</v>
      </c>
      <c r="F23" s="60" t="s">
        <v>129</v>
      </c>
      <c r="G23" s="59">
        <v>4</v>
      </c>
      <c r="H23" s="59">
        <f>G23*2</f>
        <v>8</v>
      </c>
      <c r="I23" s="59" t="s">
        <v>175</v>
      </c>
      <c r="J23" s="44"/>
      <c r="K23" s="59">
        <f>J23*2</f>
        <v>0</v>
      </c>
      <c r="L23" s="61"/>
    </row>
    <row r="24" spans="1:12" ht="45" x14ac:dyDescent="0.25">
      <c r="A24" s="57">
        <v>20</v>
      </c>
      <c r="B24" s="63" t="s">
        <v>21</v>
      </c>
      <c r="C24" s="59" t="s">
        <v>14</v>
      </c>
      <c r="D24" s="59" t="s">
        <v>112</v>
      </c>
      <c r="E24" s="59" t="s">
        <v>130</v>
      </c>
      <c r="F24" s="60" t="s">
        <v>131</v>
      </c>
      <c r="G24" s="59">
        <v>4</v>
      </c>
      <c r="H24" s="59">
        <f>G24</f>
        <v>4</v>
      </c>
      <c r="I24" s="59" t="s">
        <v>146</v>
      </c>
      <c r="J24" s="44"/>
      <c r="K24" s="59">
        <f>J24</f>
        <v>0</v>
      </c>
      <c r="L24" s="61"/>
    </row>
    <row r="25" spans="1:12" ht="165" x14ac:dyDescent="0.25">
      <c r="A25" s="57">
        <v>21</v>
      </c>
      <c r="B25" s="62" t="s">
        <v>18</v>
      </c>
      <c r="C25" s="59" t="s">
        <v>14</v>
      </c>
      <c r="D25" s="59" t="s">
        <v>112</v>
      </c>
      <c r="E25" s="59" t="s">
        <v>132</v>
      </c>
      <c r="F25" s="60" t="s">
        <v>176</v>
      </c>
      <c r="G25" s="59">
        <v>4</v>
      </c>
      <c r="H25" s="59">
        <f>G25*1.5</f>
        <v>6</v>
      </c>
      <c r="I25" s="59" t="s">
        <v>177</v>
      </c>
      <c r="J25" s="44"/>
      <c r="K25" s="59">
        <f>J25*1.5</f>
        <v>0</v>
      </c>
      <c r="L25" s="61" t="s">
        <v>133</v>
      </c>
    </row>
    <row r="26" spans="1:12" ht="21" x14ac:dyDescent="0.35">
      <c r="A26" s="67"/>
      <c r="B26" s="67"/>
      <c r="C26" s="68"/>
      <c r="D26" s="69"/>
      <c r="E26" s="69"/>
      <c r="F26" s="70"/>
      <c r="G26" s="71">
        <f>SUM(G5:G25)</f>
        <v>84</v>
      </c>
      <c r="H26" s="71">
        <f>SUM(H5:H25)</f>
        <v>122</v>
      </c>
      <c r="I26" s="72"/>
      <c r="J26" s="73">
        <f>SUM(J5:J25)</f>
        <v>0</v>
      </c>
      <c r="K26" s="71">
        <f>SUM(K5:K25)</f>
        <v>0</v>
      </c>
      <c r="L26" s="69"/>
    </row>
    <row r="27" spans="1:12" ht="33" x14ac:dyDescent="0.35">
      <c r="A27" s="67"/>
      <c r="B27" s="67"/>
      <c r="C27" s="68"/>
      <c r="D27" s="69"/>
      <c r="E27" s="69"/>
      <c r="F27" s="70"/>
      <c r="G27" s="74" t="s">
        <v>170</v>
      </c>
      <c r="H27" s="74" t="s">
        <v>171</v>
      </c>
      <c r="I27" s="72"/>
      <c r="J27" s="74" t="s">
        <v>172</v>
      </c>
      <c r="K27" s="74" t="s">
        <v>178</v>
      </c>
      <c r="L27" s="69"/>
    </row>
  </sheetData>
  <sheetProtection sheet="1" selectLockedCells="1"/>
  <autoFilter ref="A4:L4">
    <sortState ref="A5:J26">
      <sortCondition ref="A4"/>
    </sortState>
  </autoFilter>
  <mergeCells count="3">
    <mergeCell ref="D1:L1"/>
    <mergeCell ref="A2:B2"/>
    <mergeCell ref="A3:B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L27"/>
  <sheetViews>
    <sheetView zoomScale="80" zoomScaleNormal="80" workbookViewId="0">
      <selection activeCell="J6" sqref="J6"/>
    </sheetView>
  </sheetViews>
  <sheetFormatPr defaultRowHeight="15" x14ac:dyDescent="0.25"/>
  <cols>
    <col min="2" max="5" width="20.7109375" customWidth="1"/>
    <col min="6" max="6" width="30.7109375" customWidth="1"/>
    <col min="7" max="8" width="20.7109375" customWidth="1"/>
    <col min="9" max="9" width="30.7109375" customWidth="1"/>
    <col min="10" max="10" width="20.7109375" customWidth="1"/>
    <col min="11" max="11" width="26.42578125" customWidth="1"/>
    <col min="12" max="12" width="60.7109375" customWidth="1"/>
  </cols>
  <sheetData>
    <row r="1" spans="1:12" ht="78.75" customHeight="1" x14ac:dyDescent="0.25">
      <c r="A1" s="45"/>
      <c r="B1" s="46"/>
      <c r="C1" s="46"/>
      <c r="D1" s="47" t="s">
        <v>211</v>
      </c>
      <c r="E1" s="47"/>
      <c r="F1" s="47"/>
      <c r="G1" s="47"/>
      <c r="H1" s="47"/>
      <c r="I1" s="47"/>
      <c r="J1" s="47"/>
      <c r="K1" s="47"/>
      <c r="L1" s="48"/>
    </row>
    <row r="2" spans="1:12" x14ac:dyDescent="0.25">
      <c r="A2" s="49" t="s">
        <v>45</v>
      </c>
      <c r="B2" s="50"/>
      <c r="C2" s="51">
        <f>'Final Scoring'!C2</f>
        <v>0</v>
      </c>
      <c r="D2" s="52"/>
      <c r="E2" s="52"/>
      <c r="F2" s="52"/>
      <c r="G2" s="52"/>
      <c r="H2" s="52"/>
      <c r="I2" s="52"/>
      <c r="J2" s="52"/>
      <c r="K2" s="52"/>
      <c r="L2" s="53"/>
    </row>
    <row r="3" spans="1:12" x14ac:dyDescent="0.25">
      <c r="A3" s="49" t="s">
        <v>39</v>
      </c>
      <c r="B3" s="50"/>
      <c r="C3" s="51">
        <f>'Final Scoring'!C3</f>
        <v>0</v>
      </c>
      <c r="D3" s="52"/>
      <c r="E3" s="52"/>
      <c r="F3" s="52"/>
      <c r="G3" s="52"/>
      <c r="H3" s="52"/>
      <c r="I3" s="52"/>
      <c r="J3" s="52"/>
      <c r="K3" s="52"/>
      <c r="L3" s="53"/>
    </row>
    <row r="4" spans="1:12" ht="45" x14ac:dyDescent="0.25">
      <c r="A4" s="54" t="s">
        <v>0</v>
      </c>
      <c r="B4" s="55" t="s">
        <v>1</v>
      </c>
      <c r="C4" s="55" t="s">
        <v>2</v>
      </c>
      <c r="D4" s="55" t="s">
        <v>3</v>
      </c>
      <c r="E4" s="55" t="s">
        <v>91</v>
      </c>
      <c r="F4" s="55" t="s">
        <v>4</v>
      </c>
      <c r="G4" s="55" t="s">
        <v>5</v>
      </c>
      <c r="H4" s="55" t="s">
        <v>169</v>
      </c>
      <c r="I4" s="55" t="s">
        <v>6</v>
      </c>
      <c r="J4" s="55" t="s">
        <v>38</v>
      </c>
      <c r="K4" s="55" t="s">
        <v>168</v>
      </c>
      <c r="L4" s="56" t="s">
        <v>7</v>
      </c>
    </row>
    <row r="5" spans="1:12" ht="195" x14ac:dyDescent="0.25">
      <c r="A5" s="57">
        <v>1</v>
      </c>
      <c r="B5" s="58" t="s">
        <v>13</v>
      </c>
      <c r="C5" s="59" t="s">
        <v>14</v>
      </c>
      <c r="D5" s="59" t="s">
        <v>93</v>
      </c>
      <c r="E5" s="59" t="s">
        <v>94</v>
      </c>
      <c r="F5" s="60" t="s">
        <v>99</v>
      </c>
      <c r="G5" s="59">
        <v>4</v>
      </c>
      <c r="H5" s="59">
        <f>G5*2</f>
        <v>8</v>
      </c>
      <c r="I5" s="59" t="s">
        <v>187</v>
      </c>
      <c r="J5" s="44"/>
      <c r="K5" s="59">
        <f>J5*2</f>
        <v>0</v>
      </c>
      <c r="L5" s="61" t="s">
        <v>61</v>
      </c>
    </row>
    <row r="6" spans="1:12" ht="198.75" customHeight="1" x14ac:dyDescent="0.25">
      <c r="A6" s="57">
        <v>2</v>
      </c>
      <c r="B6" s="62" t="s">
        <v>18</v>
      </c>
      <c r="C6" s="59" t="s">
        <v>14</v>
      </c>
      <c r="D6" s="59" t="s">
        <v>93</v>
      </c>
      <c r="E6" s="59" t="s">
        <v>95</v>
      </c>
      <c r="F6" s="60" t="s">
        <v>119</v>
      </c>
      <c r="G6" s="59">
        <v>4</v>
      </c>
      <c r="H6" s="59">
        <f>G6*1.5</f>
        <v>6</v>
      </c>
      <c r="I6" s="59" t="s">
        <v>167</v>
      </c>
      <c r="J6" s="44"/>
      <c r="K6" s="59">
        <f>J6*1.5</f>
        <v>0</v>
      </c>
      <c r="L6" s="61" t="s">
        <v>66</v>
      </c>
    </row>
    <row r="7" spans="1:12" ht="186" customHeight="1" x14ac:dyDescent="0.25">
      <c r="A7" s="57">
        <v>3</v>
      </c>
      <c r="B7" s="63" t="s">
        <v>21</v>
      </c>
      <c r="C7" s="59" t="s">
        <v>14</v>
      </c>
      <c r="D7" s="59" t="s">
        <v>93</v>
      </c>
      <c r="E7" s="59" t="s">
        <v>120</v>
      </c>
      <c r="F7" s="60" t="s">
        <v>188</v>
      </c>
      <c r="G7" s="59">
        <v>4</v>
      </c>
      <c r="H7" s="59">
        <f>G7</f>
        <v>4</v>
      </c>
      <c r="I7" s="64" t="s">
        <v>189</v>
      </c>
      <c r="J7" s="44"/>
      <c r="K7" s="59">
        <f>J7</f>
        <v>0</v>
      </c>
      <c r="L7" s="61" t="s">
        <v>121</v>
      </c>
    </row>
    <row r="8" spans="1:12" ht="60" x14ac:dyDescent="0.25">
      <c r="A8" s="57">
        <v>4</v>
      </c>
      <c r="B8" s="63" t="s">
        <v>21</v>
      </c>
      <c r="C8" s="59" t="s">
        <v>14</v>
      </c>
      <c r="D8" s="59" t="s">
        <v>93</v>
      </c>
      <c r="E8" s="59" t="s">
        <v>120</v>
      </c>
      <c r="F8" s="60" t="s">
        <v>190</v>
      </c>
      <c r="G8" s="59">
        <v>4</v>
      </c>
      <c r="H8" s="59">
        <f>G8</f>
        <v>4</v>
      </c>
      <c r="I8" s="59" t="s">
        <v>135</v>
      </c>
      <c r="J8" s="44"/>
      <c r="K8" s="59">
        <f>J8</f>
        <v>0</v>
      </c>
      <c r="L8" s="61" t="s">
        <v>34</v>
      </c>
    </row>
    <row r="9" spans="1:12" ht="90" x14ac:dyDescent="0.25">
      <c r="A9" s="57">
        <v>5</v>
      </c>
      <c r="B9" s="58" t="s">
        <v>13</v>
      </c>
      <c r="C9" s="59" t="s">
        <v>14</v>
      </c>
      <c r="D9" s="59" t="s">
        <v>96</v>
      </c>
      <c r="E9" s="59" t="s">
        <v>92</v>
      </c>
      <c r="F9" s="60" t="s">
        <v>47</v>
      </c>
      <c r="G9" s="59">
        <v>4</v>
      </c>
      <c r="H9" s="59">
        <f>G9*2</f>
        <v>8</v>
      </c>
      <c r="I9" s="59" t="s">
        <v>136</v>
      </c>
      <c r="J9" s="44"/>
      <c r="K9" s="59">
        <f>J9*2</f>
        <v>0</v>
      </c>
      <c r="L9" s="61" t="s">
        <v>62</v>
      </c>
    </row>
    <row r="10" spans="1:12" ht="210" x14ac:dyDescent="0.25">
      <c r="A10" s="57">
        <v>6</v>
      </c>
      <c r="B10" s="62" t="s">
        <v>18</v>
      </c>
      <c r="C10" s="59" t="s">
        <v>14</v>
      </c>
      <c r="D10" s="59" t="s">
        <v>96</v>
      </c>
      <c r="E10" s="59" t="s">
        <v>97</v>
      </c>
      <c r="F10" s="60" t="s">
        <v>122</v>
      </c>
      <c r="G10" s="59">
        <v>4</v>
      </c>
      <c r="H10" s="59">
        <f>G10*1.5</f>
        <v>6</v>
      </c>
      <c r="I10" s="59" t="s">
        <v>173</v>
      </c>
      <c r="J10" s="44"/>
      <c r="K10" s="59">
        <f>J10*1.5</f>
        <v>0</v>
      </c>
      <c r="L10" s="61"/>
    </row>
    <row r="11" spans="1:12" ht="96" x14ac:dyDescent="0.25">
      <c r="A11" s="57">
        <v>7</v>
      </c>
      <c r="B11" s="63" t="s">
        <v>21</v>
      </c>
      <c r="C11" s="59" t="s">
        <v>14</v>
      </c>
      <c r="D11" s="59" t="s">
        <v>96</v>
      </c>
      <c r="E11" s="59" t="s">
        <v>98</v>
      </c>
      <c r="F11" s="60" t="s">
        <v>87</v>
      </c>
      <c r="G11" s="59">
        <v>4</v>
      </c>
      <c r="H11" s="59">
        <f>G11</f>
        <v>4</v>
      </c>
      <c r="I11" s="59" t="s">
        <v>137</v>
      </c>
      <c r="J11" s="44"/>
      <c r="K11" s="59">
        <f>J11</f>
        <v>0</v>
      </c>
      <c r="L11" s="61" t="s">
        <v>86</v>
      </c>
    </row>
    <row r="12" spans="1:12" ht="150" x14ac:dyDescent="0.25">
      <c r="A12" s="57">
        <v>8</v>
      </c>
      <c r="B12" s="58" t="s">
        <v>13</v>
      </c>
      <c r="C12" s="59" t="s">
        <v>14</v>
      </c>
      <c r="D12" s="59" t="s">
        <v>100</v>
      </c>
      <c r="E12" s="59" t="s">
        <v>101</v>
      </c>
      <c r="F12" s="60" t="s">
        <v>88</v>
      </c>
      <c r="G12" s="59">
        <v>4</v>
      </c>
      <c r="H12" s="59">
        <f>G12*2</f>
        <v>8</v>
      </c>
      <c r="I12" s="59" t="s">
        <v>138</v>
      </c>
      <c r="J12" s="44"/>
      <c r="K12" s="59">
        <f>J12*2</f>
        <v>0</v>
      </c>
      <c r="L12" s="61" t="s">
        <v>63</v>
      </c>
    </row>
    <row r="13" spans="1:12" ht="120" x14ac:dyDescent="0.25">
      <c r="A13" s="57">
        <v>9</v>
      </c>
      <c r="B13" s="63" t="s">
        <v>21</v>
      </c>
      <c r="C13" s="59" t="s">
        <v>14</v>
      </c>
      <c r="D13" s="59" t="s">
        <v>100</v>
      </c>
      <c r="E13" s="59" t="s">
        <v>104</v>
      </c>
      <c r="F13" s="60" t="s">
        <v>89</v>
      </c>
      <c r="G13" s="59">
        <v>4</v>
      </c>
      <c r="H13" s="59">
        <f>G13</f>
        <v>4</v>
      </c>
      <c r="I13" s="59" t="s">
        <v>139</v>
      </c>
      <c r="J13" s="44"/>
      <c r="K13" s="59">
        <f>J13</f>
        <v>0</v>
      </c>
      <c r="L13" s="61"/>
    </row>
    <row r="14" spans="1:12" ht="165" x14ac:dyDescent="0.25">
      <c r="A14" s="57">
        <v>10</v>
      </c>
      <c r="B14" s="62" t="s">
        <v>18</v>
      </c>
      <c r="C14" s="59" t="s">
        <v>14</v>
      </c>
      <c r="D14" s="59" t="s">
        <v>100</v>
      </c>
      <c r="E14" s="59" t="s">
        <v>102</v>
      </c>
      <c r="F14" s="60" t="s">
        <v>90</v>
      </c>
      <c r="G14" s="59">
        <v>4</v>
      </c>
      <c r="H14" s="59">
        <f>G14*1.5</f>
        <v>6</v>
      </c>
      <c r="I14" s="59" t="s">
        <v>140</v>
      </c>
      <c r="J14" s="44"/>
      <c r="K14" s="59">
        <f>J14*1.5</f>
        <v>0</v>
      </c>
      <c r="L14" s="61" t="s">
        <v>67</v>
      </c>
    </row>
    <row r="15" spans="1:12" ht="90" x14ac:dyDescent="0.25">
      <c r="A15" s="57">
        <v>11</v>
      </c>
      <c r="B15" s="63" t="s">
        <v>21</v>
      </c>
      <c r="C15" s="59" t="s">
        <v>14</v>
      </c>
      <c r="D15" s="59" t="s">
        <v>100</v>
      </c>
      <c r="E15" s="59" t="s">
        <v>103</v>
      </c>
      <c r="F15" s="60" t="s">
        <v>123</v>
      </c>
      <c r="G15" s="59">
        <v>4</v>
      </c>
      <c r="H15" s="59">
        <f>G15</f>
        <v>4</v>
      </c>
      <c r="I15" s="59" t="s">
        <v>141</v>
      </c>
      <c r="J15" s="44"/>
      <c r="K15" s="59">
        <f>J15</f>
        <v>0</v>
      </c>
      <c r="L15" s="61" t="s">
        <v>78</v>
      </c>
    </row>
    <row r="16" spans="1:12" ht="72" x14ac:dyDescent="0.25">
      <c r="A16" s="57">
        <v>12</v>
      </c>
      <c r="B16" s="58" t="s">
        <v>13</v>
      </c>
      <c r="C16" s="59" t="s">
        <v>14</v>
      </c>
      <c r="D16" s="59" t="s">
        <v>106</v>
      </c>
      <c r="E16" s="59" t="s">
        <v>105</v>
      </c>
      <c r="F16" s="60" t="s">
        <v>49</v>
      </c>
      <c r="G16" s="59">
        <v>4</v>
      </c>
      <c r="H16" s="59">
        <f>G16*2</f>
        <v>8</v>
      </c>
      <c r="I16" s="59" t="s">
        <v>142</v>
      </c>
      <c r="J16" s="44"/>
      <c r="K16" s="59">
        <f>J16*2</f>
        <v>0</v>
      </c>
      <c r="L16" s="61" t="s">
        <v>64</v>
      </c>
    </row>
    <row r="17" spans="1:12" ht="84" customHeight="1" x14ac:dyDescent="0.25">
      <c r="A17" s="57">
        <v>13</v>
      </c>
      <c r="B17" s="58" t="s">
        <v>13</v>
      </c>
      <c r="C17" s="64" t="s">
        <v>14</v>
      </c>
      <c r="D17" s="59" t="s">
        <v>106</v>
      </c>
      <c r="E17" s="64" t="s">
        <v>107</v>
      </c>
      <c r="F17" s="65" t="s">
        <v>77</v>
      </c>
      <c r="G17" s="64">
        <v>4</v>
      </c>
      <c r="H17" s="64">
        <f>G17*2</f>
        <v>8</v>
      </c>
      <c r="I17" s="64" t="s">
        <v>143</v>
      </c>
      <c r="J17" s="44"/>
      <c r="K17" s="64">
        <f>J17*2</f>
        <v>0</v>
      </c>
      <c r="L17" s="66" t="s">
        <v>65</v>
      </c>
    </row>
    <row r="18" spans="1:12" ht="45" x14ac:dyDescent="0.25">
      <c r="A18" s="57">
        <v>14</v>
      </c>
      <c r="B18" s="62" t="s">
        <v>18</v>
      </c>
      <c r="C18" s="59" t="s">
        <v>14</v>
      </c>
      <c r="D18" s="59" t="s">
        <v>106</v>
      </c>
      <c r="E18" s="59" t="s">
        <v>108</v>
      </c>
      <c r="F18" s="60" t="s">
        <v>50</v>
      </c>
      <c r="G18" s="59">
        <v>4</v>
      </c>
      <c r="H18" s="59">
        <f>G18*1.5</f>
        <v>6</v>
      </c>
      <c r="I18" s="59" t="s">
        <v>144</v>
      </c>
      <c r="J18" s="44"/>
      <c r="K18" s="59">
        <f>J18*1.5</f>
        <v>0</v>
      </c>
      <c r="L18" s="61"/>
    </row>
    <row r="19" spans="1:12" ht="120" x14ac:dyDescent="0.25">
      <c r="A19" s="57">
        <v>15</v>
      </c>
      <c r="B19" s="62" t="s">
        <v>18</v>
      </c>
      <c r="C19" s="59" t="s">
        <v>14</v>
      </c>
      <c r="D19" s="59" t="s">
        <v>106</v>
      </c>
      <c r="E19" s="59" t="s">
        <v>109</v>
      </c>
      <c r="F19" s="60" t="s">
        <v>124</v>
      </c>
      <c r="G19" s="59">
        <v>4</v>
      </c>
      <c r="H19" s="59">
        <f>G19*1.5</f>
        <v>6</v>
      </c>
      <c r="I19" s="59" t="s">
        <v>191</v>
      </c>
      <c r="J19" s="44"/>
      <c r="K19" s="59">
        <f>J19*1.5</f>
        <v>0</v>
      </c>
      <c r="L19" s="61" t="s">
        <v>73</v>
      </c>
    </row>
    <row r="20" spans="1:12" ht="135" x14ac:dyDescent="0.25">
      <c r="A20" s="57">
        <v>16</v>
      </c>
      <c r="B20" s="63" t="s">
        <v>21</v>
      </c>
      <c r="C20" s="59" t="s">
        <v>14</v>
      </c>
      <c r="D20" s="59" t="s">
        <v>106</v>
      </c>
      <c r="E20" s="59" t="s">
        <v>110</v>
      </c>
      <c r="F20" s="60" t="s">
        <v>125</v>
      </c>
      <c r="G20" s="59">
        <v>4</v>
      </c>
      <c r="H20" s="59">
        <f>G20</f>
        <v>4</v>
      </c>
      <c r="I20" s="59" t="s">
        <v>174</v>
      </c>
      <c r="J20" s="44"/>
      <c r="K20" s="59">
        <f>J20</f>
        <v>0</v>
      </c>
      <c r="L20" s="61" t="s">
        <v>69</v>
      </c>
    </row>
    <row r="21" spans="1:12" ht="120" x14ac:dyDescent="0.25">
      <c r="A21" s="57">
        <v>17</v>
      </c>
      <c r="B21" s="63" t="s">
        <v>21</v>
      </c>
      <c r="C21" s="59" t="s">
        <v>14</v>
      </c>
      <c r="D21" s="59" t="s">
        <v>106</v>
      </c>
      <c r="E21" s="59" t="s">
        <v>111</v>
      </c>
      <c r="F21" s="60" t="s">
        <v>126</v>
      </c>
      <c r="G21" s="59">
        <v>4</v>
      </c>
      <c r="H21" s="59">
        <f>G21</f>
        <v>4</v>
      </c>
      <c r="I21" s="59" t="s">
        <v>145</v>
      </c>
      <c r="J21" s="44"/>
      <c r="K21" s="59">
        <f>J21</f>
        <v>0</v>
      </c>
      <c r="L21" s="61" t="s">
        <v>68</v>
      </c>
    </row>
    <row r="22" spans="1:12" ht="134.25" customHeight="1" x14ac:dyDescent="0.25">
      <c r="A22" s="57">
        <v>18</v>
      </c>
      <c r="B22" s="62" t="s">
        <v>18</v>
      </c>
      <c r="C22" s="59" t="s">
        <v>14</v>
      </c>
      <c r="D22" s="59" t="s">
        <v>112</v>
      </c>
      <c r="E22" s="59" t="s">
        <v>127</v>
      </c>
      <c r="F22" s="60" t="s">
        <v>192</v>
      </c>
      <c r="G22" s="59">
        <v>4</v>
      </c>
      <c r="H22" s="59">
        <f>G22*1.5</f>
        <v>6</v>
      </c>
      <c r="I22" s="64" t="s">
        <v>193</v>
      </c>
      <c r="J22" s="44"/>
      <c r="K22" s="59">
        <f>J22*1.5</f>
        <v>0</v>
      </c>
      <c r="L22" s="61" t="s">
        <v>134</v>
      </c>
    </row>
    <row r="23" spans="1:12" ht="150" x14ac:dyDescent="0.25">
      <c r="A23" s="57">
        <v>19</v>
      </c>
      <c r="B23" s="58" t="s">
        <v>13</v>
      </c>
      <c r="C23" s="59" t="s">
        <v>14</v>
      </c>
      <c r="D23" s="59" t="s">
        <v>112</v>
      </c>
      <c r="E23" s="59" t="s">
        <v>128</v>
      </c>
      <c r="F23" s="60" t="s">
        <v>129</v>
      </c>
      <c r="G23" s="59">
        <v>4</v>
      </c>
      <c r="H23" s="59">
        <f>G23*2</f>
        <v>8</v>
      </c>
      <c r="I23" s="59" t="s">
        <v>175</v>
      </c>
      <c r="J23" s="44"/>
      <c r="K23" s="59">
        <f>J23*2</f>
        <v>0</v>
      </c>
      <c r="L23" s="61"/>
    </row>
    <row r="24" spans="1:12" ht="45" x14ac:dyDescent="0.25">
      <c r="A24" s="57">
        <v>20</v>
      </c>
      <c r="B24" s="63" t="s">
        <v>21</v>
      </c>
      <c r="C24" s="59" t="s">
        <v>14</v>
      </c>
      <c r="D24" s="59" t="s">
        <v>112</v>
      </c>
      <c r="E24" s="59" t="s">
        <v>130</v>
      </c>
      <c r="F24" s="60" t="s">
        <v>131</v>
      </c>
      <c r="G24" s="59">
        <v>4</v>
      </c>
      <c r="H24" s="59">
        <f>G24</f>
        <v>4</v>
      </c>
      <c r="I24" s="59" t="s">
        <v>146</v>
      </c>
      <c r="J24" s="44"/>
      <c r="K24" s="59">
        <f>J24</f>
        <v>0</v>
      </c>
      <c r="L24" s="61"/>
    </row>
    <row r="25" spans="1:12" ht="165" x14ac:dyDescent="0.25">
      <c r="A25" s="57">
        <v>21</v>
      </c>
      <c r="B25" s="62" t="s">
        <v>18</v>
      </c>
      <c r="C25" s="59" t="s">
        <v>14</v>
      </c>
      <c r="D25" s="59" t="s">
        <v>112</v>
      </c>
      <c r="E25" s="59" t="s">
        <v>132</v>
      </c>
      <c r="F25" s="60" t="s">
        <v>176</v>
      </c>
      <c r="G25" s="59">
        <v>4</v>
      </c>
      <c r="H25" s="59">
        <f>G25*1.5</f>
        <v>6</v>
      </c>
      <c r="I25" s="59" t="s">
        <v>177</v>
      </c>
      <c r="J25" s="44"/>
      <c r="K25" s="59">
        <f>J25*1.5</f>
        <v>0</v>
      </c>
      <c r="L25" s="61" t="s">
        <v>133</v>
      </c>
    </row>
    <row r="26" spans="1:12" ht="21" x14ac:dyDescent="0.35">
      <c r="A26" s="67"/>
      <c r="B26" s="67"/>
      <c r="C26" s="68"/>
      <c r="D26" s="69"/>
      <c r="E26" s="69"/>
      <c r="F26" s="70"/>
      <c r="G26" s="71">
        <f>SUM(G5:G25)</f>
        <v>84</v>
      </c>
      <c r="H26" s="71">
        <f>SUM(H5:H25)</f>
        <v>122</v>
      </c>
      <c r="I26" s="72"/>
      <c r="J26" s="73">
        <f>SUM(J5:J25)</f>
        <v>0</v>
      </c>
      <c r="K26" s="71">
        <f>SUM(K5:K25)</f>
        <v>0</v>
      </c>
      <c r="L26" s="69"/>
    </row>
    <row r="27" spans="1:12" ht="33" x14ac:dyDescent="0.35">
      <c r="A27" s="67"/>
      <c r="B27" s="67"/>
      <c r="C27" s="68"/>
      <c r="D27" s="69"/>
      <c r="E27" s="69"/>
      <c r="F27" s="70"/>
      <c r="G27" s="74" t="s">
        <v>170</v>
      </c>
      <c r="H27" s="74" t="s">
        <v>171</v>
      </c>
      <c r="I27" s="72"/>
      <c r="J27" s="74" t="s">
        <v>172</v>
      </c>
      <c r="K27" s="74" t="s">
        <v>178</v>
      </c>
      <c r="L27" s="69"/>
    </row>
  </sheetData>
  <sheetProtection sheet="1" selectLockedCells="1"/>
  <autoFilter ref="A4:L4">
    <sortState ref="A5:J26">
      <sortCondition ref="A4"/>
    </sortState>
  </autoFilter>
  <mergeCells count="3">
    <mergeCell ref="D1:L1"/>
    <mergeCell ref="A2:B2"/>
    <mergeCell ref="A3:B3"/>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L27"/>
  <sheetViews>
    <sheetView zoomScale="80" zoomScaleNormal="80" workbookViewId="0">
      <selection activeCell="J6" sqref="J6"/>
    </sheetView>
  </sheetViews>
  <sheetFormatPr defaultRowHeight="15" x14ac:dyDescent="0.25"/>
  <cols>
    <col min="2" max="5" width="20.7109375" customWidth="1"/>
    <col min="6" max="6" width="30.7109375" customWidth="1"/>
    <col min="7" max="8" width="20.7109375" customWidth="1"/>
    <col min="9" max="9" width="30.7109375" customWidth="1"/>
    <col min="10" max="10" width="20.7109375" customWidth="1"/>
    <col min="11" max="11" width="26.42578125" customWidth="1"/>
    <col min="12" max="12" width="60.7109375" customWidth="1"/>
  </cols>
  <sheetData>
    <row r="1" spans="1:12" ht="78.75" customHeight="1" x14ac:dyDescent="0.25">
      <c r="A1" s="45"/>
      <c r="B1" s="46"/>
      <c r="C1" s="46"/>
      <c r="D1" s="47" t="s">
        <v>212</v>
      </c>
      <c r="E1" s="47"/>
      <c r="F1" s="47"/>
      <c r="G1" s="47"/>
      <c r="H1" s="47"/>
      <c r="I1" s="47"/>
      <c r="J1" s="47"/>
      <c r="K1" s="47"/>
      <c r="L1" s="48"/>
    </row>
    <row r="2" spans="1:12" x14ac:dyDescent="0.25">
      <c r="A2" s="49" t="s">
        <v>45</v>
      </c>
      <c r="B2" s="50"/>
      <c r="C2" s="51">
        <f>'Final Scoring'!C2</f>
        <v>0</v>
      </c>
      <c r="D2" s="52"/>
      <c r="E2" s="52"/>
      <c r="F2" s="52"/>
      <c r="G2" s="52"/>
      <c r="H2" s="52"/>
      <c r="I2" s="52"/>
      <c r="J2" s="52"/>
      <c r="K2" s="52"/>
      <c r="L2" s="53"/>
    </row>
    <row r="3" spans="1:12" x14ac:dyDescent="0.25">
      <c r="A3" s="49" t="s">
        <v>39</v>
      </c>
      <c r="B3" s="50"/>
      <c r="C3" s="51">
        <f>'Final Scoring'!C3</f>
        <v>0</v>
      </c>
      <c r="D3" s="52"/>
      <c r="E3" s="52"/>
      <c r="F3" s="52"/>
      <c r="G3" s="52"/>
      <c r="H3" s="52"/>
      <c r="I3" s="52"/>
      <c r="J3" s="52"/>
      <c r="K3" s="52"/>
      <c r="L3" s="53"/>
    </row>
    <row r="4" spans="1:12" ht="45" x14ac:dyDescent="0.25">
      <c r="A4" s="54" t="s">
        <v>0</v>
      </c>
      <c r="B4" s="55" t="s">
        <v>1</v>
      </c>
      <c r="C4" s="55" t="s">
        <v>2</v>
      </c>
      <c r="D4" s="55" t="s">
        <v>3</v>
      </c>
      <c r="E4" s="55" t="s">
        <v>91</v>
      </c>
      <c r="F4" s="55" t="s">
        <v>4</v>
      </c>
      <c r="G4" s="55" t="s">
        <v>5</v>
      </c>
      <c r="H4" s="55" t="s">
        <v>169</v>
      </c>
      <c r="I4" s="55" t="s">
        <v>6</v>
      </c>
      <c r="J4" s="55" t="s">
        <v>38</v>
      </c>
      <c r="K4" s="55" t="s">
        <v>168</v>
      </c>
      <c r="L4" s="56" t="s">
        <v>7</v>
      </c>
    </row>
    <row r="5" spans="1:12" ht="195" x14ac:dyDescent="0.25">
      <c r="A5" s="57">
        <v>1</v>
      </c>
      <c r="B5" s="58" t="s">
        <v>13</v>
      </c>
      <c r="C5" s="59" t="s">
        <v>14</v>
      </c>
      <c r="D5" s="59" t="s">
        <v>93</v>
      </c>
      <c r="E5" s="59" t="s">
        <v>94</v>
      </c>
      <c r="F5" s="60" t="s">
        <v>99</v>
      </c>
      <c r="G5" s="59">
        <v>4</v>
      </c>
      <c r="H5" s="59">
        <f>G5*2</f>
        <v>8</v>
      </c>
      <c r="I5" s="59" t="s">
        <v>187</v>
      </c>
      <c r="J5" s="44"/>
      <c r="K5" s="59">
        <f>J5*2</f>
        <v>0</v>
      </c>
      <c r="L5" s="61" t="s">
        <v>61</v>
      </c>
    </row>
    <row r="6" spans="1:12" ht="198.75" customHeight="1" x14ac:dyDescent="0.25">
      <c r="A6" s="57">
        <v>2</v>
      </c>
      <c r="B6" s="62" t="s">
        <v>18</v>
      </c>
      <c r="C6" s="59" t="s">
        <v>14</v>
      </c>
      <c r="D6" s="59" t="s">
        <v>93</v>
      </c>
      <c r="E6" s="59" t="s">
        <v>95</v>
      </c>
      <c r="F6" s="60" t="s">
        <v>119</v>
      </c>
      <c r="G6" s="59">
        <v>4</v>
      </c>
      <c r="H6" s="59">
        <f>G6*1.5</f>
        <v>6</v>
      </c>
      <c r="I6" s="59" t="s">
        <v>167</v>
      </c>
      <c r="J6" s="44"/>
      <c r="K6" s="59">
        <f>J6*1.5</f>
        <v>0</v>
      </c>
      <c r="L6" s="61" t="s">
        <v>66</v>
      </c>
    </row>
    <row r="7" spans="1:12" ht="186" customHeight="1" x14ac:dyDescent="0.25">
      <c r="A7" s="57">
        <v>3</v>
      </c>
      <c r="B7" s="63" t="s">
        <v>21</v>
      </c>
      <c r="C7" s="59" t="s">
        <v>14</v>
      </c>
      <c r="D7" s="59" t="s">
        <v>93</v>
      </c>
      <c r="E7" s="59" t="s">
        <v>120</v>
      </c>
      <c r="F7" s="60" t="s">
        <v>188</v>
      </c>
      <c r="G7" s="59">
        <v>4</v>
      </c>
      <c r="H7" s="59">
        <f>G7</f>
        <v>4</v>
      </c>
      <c r="I7" s="64" t="s">
        <v>189</v>
      </c>
      <c r="J7" s="44"/>
      <c r="K7" s="59">
        <f>J7</f>
        <v>0</v>
      </c>
      <c r="L7" s="61" t="s">
        <v>121</v>
      </c>
    </row>
    <row r="8" spans="1:12" ht="60" x14ac:dyDescent="0.25">
      <c r="A8" s="57">
        <v>4</v>
      </c>
      <c r="B8" s="63" t="s">
        <v>21</v>
      </c>
      <c r="C8" s="59" t="s">
        <v>14</v>
      </c>
      <c r="D8" s="59" t="s">
        <v>93</v>
      </c>
      <c r="E8" s="59" t="s">
        <v>120</v>
      </c>
      <c r="F8" s="60" t="s">
        <v>190</v>
      </c>
      <c r="G8" s="59">
        <v>4</v>
      </c>
      <c r="H8" s="59">
        <f>G8</f>
        <v>4</v>
      </c>
      <c r="I8" s="59" t="s">
        <v>135</v>
      </c>
      <c r="J8" s="44"/>
      <c r="K8" s="59">
        <f>J8</f>
        <v>0</v>
      </c>
      <c r="L8" s="61" t="s">
        <v>34</v>
      </c>
    </row>
    <row r="9" spans="1:12" ht="90" x14ac:dyDescent="0.25">
      <c r="A9" s="57">
        <v>5</v>
      </c>
      <c r="B9" s="58" t="s">
        <v>13</v>
      </c>
      <c r="C9" s="59" t="s">
        <v>14</v>
      </c>
      <c r="D9" s="59" t="s">
        <v>96</v>
      </c>
      <c r="E9" s="59" t="s">
        <v>92</v>
      </c>
      <c r="F9" s="60" t="s">
        <v>47</v>
      </c>
      <c r="G9" s="59">
        <v>4</v>
      </c>
      <c r="H9" s="59">
        <f>G9*2</f>
        <v>8</v>
      </c>
      <c r="I9" s="59" t="s">
        <v>136</v>
      </c>
      <c r="J9" s="44"/>
      <c r="K9" s="59">
        <f>J9*2</f>
        <v>0</v>
      </c>
      <c r="L9" s="61" t="s">
        <v>62</v>
      </c>
    </row>
    <row r="10" spans="1:12" ht="210" x14ac:dyDescent="0.25">
      <c r="A10" s="57">
        <v>6</v>
      </c>
      <c r="B10" s="62" t="s">
        <v>18</v>
      </c>
      <c r="C10" s="59" t="s">
        <v>14</v>
      </c>
      <c r="D10" s="59" t="s">
        <v>96</v>
      </c>
      <c r="E10" s="59" t="s">
        <v>97</v>
      </c>
      <c r="F10" s="60" t="s">
        <v>122</v>
      </c>
      <c r="G10" s="59">
        <v>4</v>
      </c>
      <c r="H10" s="59">
        <f>G10*1.5</f>
        <v>6</v>
      </c>
      <c r="I10" s="59" t="s">
        <v>173</v>
      </c>
      <c r="J10" s="44"/>
      <c r="K10" s="59">
        <f>J10*1.5</f>
        <v>0</v>
      </c>
      <c r="L10" s="61"/>
    </row>
    <row r="11" spans="1:12" ht="96" x14ac:dyDescent="0.25">
      <c r="A11" s="57">
        <v>7</v>
      </c>
      <c r="B11" s="63" t="s">
        <v>21</v>
      </c>
      <c r="C11" s="59" t="s">
        <v>14</v>
      </c>
      <c r="D11" s="59" t="s">
        <v>96</v>
      </c>
      <c r="E11" s="59" t="s">
        <v>98</v>
      </c>
      <c r="F11" s="60" t="s">
        <v>87</v>
      </c>
      <c r="G11" s="59">
        <v>4</v>
      </c>
      <c r="H11" s="59">
        <f>G11</f>
        <v>4</v>
      </c>
      <c r="I11" s="59" t="s">
        <v>137</v>
      </c>
      <c r="J11" s="44"/>
      <c r="K11" s="59">
        <f>J11</f>
        <v>0</v>
      </c>
      <c r="L11" s="61" t="s">
        <v>86</v>
      </c>
    </row>
    <row r="12" spans="1:12" ht="150" x14ac:dyDescent="0.25">
      <c r="A12" s="57">
        <v>8</v>
      </c>
      <c r="B12" s="58" t="s">
        <v>13</v>
      </c>
      <c r="C12" s="59" t="s">
        <v>14</v>
      </c>
      <c r="D12" s="59" t="s">
        <v>100</v>
      </c>
      <c r="E12" s="59" t="s">
        <v>101</v>
      </c>
      <c r="F12" s="60" t="s">
        <v>88</v>
      </c>
      <c r="G12" s="59">
        <v>4</v>
      </c>
      <c r="H12" s="59">
        <f>G12*2</f>
        <v>8</v>
      </c>
      <c r="I12" s="59" t="s">
        <v>138</v>
      </c>
      <c r="J12" s="44"/>
      <c r="K12" s="59">
        <f>J12*2</f>
        <v>0</v>
      </c>
      <c r="L12" s="61" t="s">
        <v>63</v>
      </c>
    </row>
    <row r="13" spans="1:12" ht="120" x14ac:dyDescent="0.25">
      <c r="A13" s="57">
        <v>9</v>
      </c>
      <c r="B13" s="63" t="s">
        <v>21</v>
      </c>
      <c r="C13" s="59" t="s">
        <v>14</v>
      </c>
      <c r="D13" s="59" t="s">
        <v>100</v>
      </c>
      <c r="E13" s="59" t="s">
        <v>104</v>
      </c>
      <c r="F13" s="60" t="s">
        <v>89</v>
      </c>
      <c r="G13" s="59">
        <v>4</v>
      </c>
      <c r="H13" s="59">
        <f>G13</f>
        <v>4</v>
      </c>
      <c r="I13" s="59" t="s">
        <v>139</v>
      </c>
      <c r="J13" s="44"/>
      <c r="K13" s="59">
        <f>J13</f>
        <v>0</v>
      </c>
      <c r="L13" s="61"/>
    </row>
    <row r="14" spans="1:12" ht="165" x14ac:dyDescent="0.25">
      <c r="A14" s="57">
        <v>10</v>
      </c>
      <c r="B14" s="62" t="s">
        <v>18</v>
      </c>
      <c r="C14" s="59" t="s">
        <v>14</v>
      </c>
      <c r="D14" s="59" t="s">
        <v>100</v>
      </c>
      <c r="E14" s="59" t="s">
        <v>102</v>
      </c>
      <c r="F14" s="60" t="s">
        <v>90</v>
      </c>
      <c r="G14" s="59">
        <v>4</v>
      </c>
      <c r="H14" s="59">
        <f>G14*1.5</f>
        <v>6</v>
      </c>
      <c r="I14" s="59" t="s">
        <v>140</v>
      </c>
      <c r="J14" s="44"/>
      <c r="K14" s="59">
        <f>J14*1.5</f>
        <v>0</v>
      </c>
      <c r="L14" s="61" t="s">
        <v>67</v>
      </c>
    </row>
    <row r="15" spans="1:12" ht="90" x14ac:dyDescent="0.25">
      <c r="A15" s="57">
        <v>11</v>
      </c>
      <c r="B15" s="63" t="s">
        <v>21</v>
      </c>
      <c r="C15" s="59" t="s">
        <v>14</v>
      </c>
      <c r="D15" s="59" t="s">
        <v>100</v>
      </c>
      <c r="E15" s="59" t="s">
        <v>103</v>
      </c>
      <c r="F15" s="60" t="s">
        <v>123</v>
      </c>
      <c r="G15" s="59">
        <v>4</v>
      </c>
      <c r="H15" s="59">
        <f>G15</f>
        <v>4</v>
      </c>
      <c r="I15" s="59" t="s">
        <v>141</v>
      </c>
      <c r="J15" s="44"/>
      <c r="K15" s="59">
        <f>J15</f>
        <v>0</v>
      </c>
      <c r="L15" s="61" t="s">
        <v>78</v>
      </c>
    </row>
    <row r="16" spans="1:12" ht="72" x14ac:dyDescent="0.25">
      <c r="A16" s="57">
        <v>12</v>
      </c>
      <c r="B16" s="58" t="s">
        <v>13</v>
      </c>
      <c r="C16" s="59" t="s">
        <v>14</v>
      </c>
      <c r="D16" s="59" t="s">
        <v>106</v>
      </c>
      <c r="E16" s="59" t="s">
        <v>105</v>
      </c>
      <c r="F16" s="60" t="s">
        <v>49</v>
      </c>
      <c r="G16" s="59">
        <v>4</v>
      </c>
      <c r="H16" s="59">
        <f>G16*2</f>
        <v>8</v>
      </c>
      <c r="I16" s="59" t="s">
        <v>142</v>
      </c>
      <c r="J16" s="44"/>
      <c r="K16" s="59">
        <f>J16*2</f>
        <v>0</v>
      </c>
      <c r="L16" s="61" t="s">
        <v>64</v>
      </c>
    </row>
    <row r="17" spans="1:12" ht="84" customHeight="1" x14ac:dyDescent="0.25">
      <c r="A17" s="57">
        <v>13</v>
      </c>
      <c r="B17" s="58" t="s">
        <v>13</v>
      </c>
      <c r="C17" s="64" t="s">
        <v>14</v>
      </c>
      <c r="D17" s="59" t="s">
        <v>106</v>
      </c>
      <c r="E17" s="64" t="s">
        <v>107</v>
      </c>
      <c r="F17" s="65" t="s">
        <v>77</v>
      </c>
      <c r="G17" s="64">
        <v>4</v>
      </c>
      <c r="H17" s="64">
        <f>G17*2</f>
        <v>8</v>
      </c>
      <c r="I17" s="64" t="s">
        <v>143</v>
      </c>
      <c r="J17" s="44"/>
      <c r="K17" s="64">
        <f>J17*2</f>
        <v>0</v>
      </c>
      <c r="L17" s="66" t="s">
        <v>65</v>
      </c>
    </row>
    <row r="18" spans="1:12" ht="45" x14ac:dyDescent="0.25">
      <c r="A18" s="57">
        <v>14</v>
      </c>
      <c r="B18" s="62" t="s">
        <v>18</v>
      </c>
      <c r="C18" s="59" t="s">
        <v>14</v>
      </c>
      <c r="D18" s="59" t="s">
        <v>106</v>
      </c>
      <c r="E18" s="59" t="s">
        <v>108</v>
      </c>
      <c r="F18" s="60" t="s">
        <v>50</v>
      </c>
      <c r="G18" s="59">
        <v>4</v>
      </c>
      <c r="H18" s="59">
        <f>G18*1.5</f>
        <v>6</v>
      </c>
      <c r="I18" s="59" t="s">
        <v>144</v>
      </c>
      <c r="J18" s="44"/>
      <c r="K18" s="59">
        <f>J18*1.5</f>
        <v>0</v>
      </c>
      <c r="L18" s="61"/>
    </row>
    <row r="19" spans="1:12" ht="120" x14ac:dyDescent="0.25">
      <c r="A19" s="57">
        <v>15</v>
      </c>
      <c r="B19" s="62" t="s">
        <v>18</v>
      </c>
      <c r="C19" s="59" t="s">
        <v>14</v>
      </c>
      <c r="D19" s="59" t="s">
        <v>106</v>
      </c>
      <c r="E19" s="59" t="s">
        <v>109</v>
      </c>
      <c r="F19" s="60" t="s">
        <v>124</v>
      </c>
      <c r="G19" s="59">
        <v>4</v>
      </c>
      <c r="H19" s="59">
        <f>G19*1.5</f>
        <v>6</v>
      </c>
      <c r="I19" s="59" t="s">
        <v>191</v>
      </c>
      <c r="J19" s="44"/>
      <c r="K19" s="59">
        <f>J19*1.5</f>
        <v>0</v>
      </c>
      <c r="L19" s="61" t="s">
        <v>73</v>
      </c>
    </row>
    <row r="20" spans="1:12" ht="135" x14ac:dyDescent="0.25">
      <c r="A20" s="57">
        <v>16</v>
      </c>
      <c r="B20" s="63" t="s">
        <v>21</v>
      </c>
      <c r="C20" s="59" t="s">
        <v>14</v>
      </c>
      <c r="D20" s="59" t="s">
        <v>106</v>
      </c>
      <c r="E20" s="59" t="s">
        <v>110</v>
      </c>
      <c r="F20" s="60" t="s">
        <v>125</v>
      </c>
      <c r="G20" s="59">
        <v>4</v>
      </c>
      <c r="H20" s="59">
        <f>G20</f>
        <v>4</v>
      </c>
      <c r="I20" s="59" t="s">
        <v>174</v>
      </c>
      <c r="J20" s="44"/>
      <c r="K20" s="59">
        <f>J20</f>
        <v>0</v>
      </c>
      <c r="L20" s="61" t="s">
        <v>69</v>
      </c>
    </row>
    <row r="21" spans="1:12" ht="120" x14ac:dyDescent="0.25">
      <c r="A21" s="57">
        <v>17</v>
      </c>
      <c r="B21" s="63" t="s">
        <v>21</v>
      </c>
      <c r="C21" s="59" t="s">
        <v>14</v>
      </c>
      <c r="D21" s="59" t="s">
        <v>106</v>
      </c>
      <c r="E21" s="59" t="s">
        <v>111</v>
      </c>
      <c r="F21" s="60" t="s">
        <v>126</v>
      </c>
      <c r="G21" s="59">
        <v>4</v>
      </c>
      <c r="H21" s="59">
        <f>G21</f>
        <v>4</v>
      </c>
      <c r="I21" s="59" t="s">
        <v>145</v>
      </c>
      <c r="J21" s="44"/>
      <c r="K21" s="59">
        <f>J21</f>
        <v>0</v>
      </c>
      <c r="L21" s="61" t="s">
        <v>68</v>
      </c>
    </row>
    <row r="22" spans="1:12" ht="134.25" customHeight="1" x14ac:dyDescent="0.25">
      <c r="A22" s="57">
        <v>18</v>
      </c>
      <c r="B22" s="62" t="s">
        <v>18</v>
      </c>
      <c r="C22" s="59" t="s">
        <v>14</v>
      </c>
      <c r="D22" s="59" t="s">
        <v>112</v>
      </c>
      <c r="E22" s="59" t="s">
        <v>127</v>
      </c>
      <c r="F22" s="60" t="s">
        <v>192</v>
      </c>
      <c r="G22" s="59">
        <v>4</v>
      </c>
      <c r="H22" s="59">
        <f>G22*1.5</f>
        <v>6</v>
      </c>
      <c r="I22" s="64" t="s">
        <v>193</v>
      </c>
      <c r="J22" s="44"/>
      <c r="K22" s="59">
        <f>J22*1.5</f>
        <v>0</v>
      </c>
      <c r="L22" s="61" t="s">
        <v>134</v>
      </c>
    </row>
    <row r="23" spans="1:12" ht="150" x14ac:dyDescent="0.25">
      <c r="A23" s="57">
        <v>19</v>
      </c>
      <c r="B23" s="58" t="s">
        <v>13</v>
      </c>
      <c r="C23" s="59" t="s">
        <v>14</v>
      </c>
      <c r="D23" s="59" t="s">
        <v>112</v>
      </c>
      <c r="E23" s="59" t="s">
        <v>128</v>
      </c>
      <c r="F23" s="60" t="s">
        <v>129</v>
      </c>
      <c r="G23" s="59">
        <v>4</v>
      </c>
      <c r="H23" s="59">
        <f>G23*2</f>
        <v>8</v>
      </c>
      <c r="I23" s="59" t="s">
        <v>175</v>
      </c>
      <c r="J23" s="44"/>
      <c r="K23" s="59">
        <f>J23*2</f>
        <v>0</v>
      </c>
      <c r="L23" s="61"/>
    </row>
    <row r="24" spans="1:12" ht="45" x14ac:dyDescent="0.25">
      <c r="A24" s="57">
        <v>20</v>
      </c>
      <c r="B24" s="63" t="s">
        <v>21</v>
      </c>
      <c r="C24" s="59" t="s">
        <v>14</v>
      </c>
      <c r="D24" s="59" t="s">
        <v>112</v>
      </c>
      <c r="E24" s="59" t="s">
        <v>130</v>
      </c>
      <c r="F24" s="60" t="s">
        <v>131</v>
      </c>
      <c r="G24" s="59">
        <v>4</v>
      </c>
      <c r="H24" s="59">
        <f>G24</f>
        <v>4</v>
      </c>
      <c r="I24" s="59" t="s">
        <v>146</v>
      </c>
      <c r="J24" s="44"/>
      <c r="K24" s="59">
        <f>J24</f>
        <v>0</v>
      </c>
      <c r="L24" s="61"/>
    </row>
    <row r="25" spans="1:12" ht="165" x14ac:dyDescent="0.25">
      <c r="A25" s="57">
        <v>21</v>
      </c>
      <c r="B25" s="62" t="s">
        <v>18</v>
      </c>
      <c r="C25" s="59" t="s">
        <v>14</v>
      </c>
      <c r="D25" s="59" t="s">
        <v>112</v>
      </c>
      <c r="E25" s="59" t="s">
        <v>132</v>
      </c>
      <c r="F25" s="60" t="s">
        <v>176</v>
      </c>
      <c r="G25" s="59">
        <v>4</v>
      </c>
      <c r="H25" s="59">
        <f>G25*1.5</f>
        <v>6</v>
      </c>
      <c r="I25" s="59" t="s">
        <v>177</v>
      </c>
      <c r="J25" s="44"/>
      <c r="K25" s="59">
        <f>J25*1.5</f>
        <v>0</v>
      </c>
      <c r="L25" s="61" t="s">
        <v>133</v>
      </c>
    </row>
    <row r="26" spans="1:12" ht="21" x14ac:dyDescent="0.35">
      <c r="A26" s="67"/>
      <c r="B26" s="67"/>
      <c r="C26" s="68"/>
      <c r="D26" s="69"/>
      <c r="E26" s="69"/>
      <c r="F26" s="70"/>
      <c r="G26" s="71">
        <f>SUM(G5:G25)</f>
        <v>84</v>
      </c>
      <c r="H26" s="71">
        <f>SUM(H5:H25)</f>
        <v>122</v>
      </c>
      <c r="I26" s="72"/>
      <c r="J26" s="73">
        <f>SUM(J5:J25)</f>
        <v>0</v>
      </c>
      <c r="K26" s="71">
        <f>SUM(K5:K25)</f>
        <v>0</v>
      </c>
      <c r="L26" s="69"/>
    </row>
    <row r="27" spans="1:12" ht="33" x14ac:dyDescent="0.35">
      <c r="A27" s="67"/>
      <c r="B27" s="67"/>
      <c r="C27" s="68"/>
      <c r="D27" s="69"/>
      <c r="E27" s="69"/>
      <c r="F27" s="70"/>
      <c r="G27" s="74" t="s">
        <v>170</v>
      </c>
      <c r="H27" s="74" t="s">
        <v>171</v>
      </c>
      <c r="I27" s="72"/>
      <c r="J27" s="74" t="s">
        <v>172</v>
      </c>
      <c r="K27" s="74" t="s">
        <v>178</v>
      </c>
      <c r="L27" s="69"/>
    </row>
  </sheetData>
  <sheetProtection sheet="1" selectLockedCells="1"/>
  <autoFilter ref="A4:L4">
    <sortState ref="A5:J26">
      <sortCondition ref="A4"/>
    </sortState>
  </autoFilter>
  <mergeCells count="3">
    <mergeCell ref="D1:L1"/>
    <mergeCell ref="A2:B2"/>
    <mergeCell ref="A3:B3"/>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L27"/>
  <sheetViews>
    <sheetView zoomScale="80" zoomScaleNormal="80" workbookViewId="0">
      <selection activeCell="J6" sqref="J6"/>
    </sheetView>
  </sheetViews>
  <sheetFormatPr defaultRowHeight="15" x14ac:dyDescent="0.25"/>
  <cols>
    <col min="2" max="5" width="20.7109375" customWidth="1"/>
    <col min="6" max="6" width="30.7109375" customWidth="1"/>
    <col min="7" max="8" width="20.7109375" customWidth="1"/>
    <col min="9" max="9" width="30.7109375" customWidth="1"/>
    <col min="10" max="10" width="20.7109375" customWidth="1"/>
    <col min="11" max="11" width="26.42578125" customWidth="1"/>
    <col min="12" max="12" width="60.7109375" customWidth="1"/>
  </cols>
  <sheetData>
    <row r="1" spans="1:12" ht="78.75" customHeight="1" x14ac:dyDescent="0.25">
      <c r="A1" s="45"/>
      <c r="B1" s="46"/>
      <c r="C1" s="46"/>
      <c r="D1" s="47" t="s">
        <v>213</v>
      </c>
      <c r="E1" s="47"/>
      <c r="F1" s="47"/>
      <c r="G1" s="47"/>
      <c r="H1" s="47"/>
      <c r="I1" s="47"/>
      <c r="J1" s="47"/>
      <c r="K1" s="47"/>
      <c r="L1" s="48"/>
    </row>
    <row r="2" spans="1:12" x14ac:dyDescent="0.25">
      <c r="A2" s="49" t="s">
        <v>45</v>
      </c>
      <c r="B2" s="50"/>
      <c r="C2" s="51">
        <f>'Final Scoring'!C2</f>
        <v>0</v>
      </c>
      <c r="D2" s="52"/>
      <c r="E2" s="52"/>
      <c r="F2" s="52"/>
      <c r="G2" s="52"/>
      <c r="H2" s="52"/>
      <c r="I2" s="52"/>
      <c r="J2" s="52"/>
      <c r="K2" s="52"/>
      <c r="L2" s="53"/>
    </row>
    <row r="3" spans="1:12" x14ac:dyDescent="0.25">
      <c r="A3" s="49" t="s">
        <v>39</v>
      </c>
      <c r="B3" s="50"/>
      <c r="C3" s="51">
        <f>'Final Scoring'!C3</f>
        <v>0</v>
      </c>
      <c r="D3" s="52"/>
      <c r="E3" s="52"/>
      <c r="F3" s="52"/>
      <c r="G3" s="52"/>
      <c r="H3" s="52"/>
      <c r="I3" s="52"/>
      <c r="J3" s="52"/>
      <c r="K3" s="52"/>
      <c r="L3" s="53"/>
    </row>
    <row r="4" spans="1:12" ht="45" x14ac:dyDescent="0.25">
      <c r="A4" s="54" t="s">
        <v>0</v>
      </c>
      <c r="B4" s="55" t="s">
        <v>1</v>
      </c>
      <c r="C4" s="55" t="s">
        <v>2</v>
      </c>
      <c r="D4" s="55" t="s">
        <v>3</v>
      </c>
      <c r="E4" s="55" t="s">
        <v>91</v>
      </c>
      <c r="F4" s="55" t="s">
        <v>4</v>
      </c>
      <c r="G4" s="55" t="s">
        <v>5</v>
      </c>
      <c r="H4" s="55" t="s">
        <v>169</v>
      </c>
      <c r="I4" s="55" t="s">
        <v>6</v>
      </c>
      <c r="J4" s="55" t="s">
        <v>38</v>
      </c>
      <c r="K4" s="55" t="s">
        <v>168</v>
      </c>
      <c r="L4" s="56" t="s">
        <v>7</v>
      </c>
    </row>
    <row r="5" spans="1:12" ht="195" x14ac:dyDescent="0.25">
      <c r="A5" s="57">
        <v>1</v>
      </c>
      <c r="B5" s="58" t="s">
        <v>13</v>
      </c>
      <c r="C5" s="59" t="s">
        <v>14</v>
      </c>
      <c r="D5" s="59" t="s">
        <v>93</v>
      </c>
      <c r="E5" s="59" t="s">
        <v>94</v>
      </c>
      <c r="F5" s="60" t="s">
        <v>99</v>
      </c>
      <c r="G5" s="59">
        <v>4</v>
      </c>
      <c r="H5" s="59">
        <f>G5*2</f>
        <v>8</v>
      </c>
      <c r="I5" s="59" t="s">
        <v>187</v>
      </c>
      <c r="J5" s="44"/>
      <c r="K5" s="59">
        <f>J5*2</f>
        <v>0</v>
      </c>
      <c r="L5" s="61" t="s">
        <v>61</v>
      </c>
    </row>
    <row r="6" spans="1:12" ht="198.75" customHeight="1" x14ac:dyDescent="0.25">
      <c r="A6" s="57">
        <v>2</v>
      </c>
      <c r="B6" s="62" t="s">
        <v>18</v>
      </c>
      <c r="C6" s="59" t="s">
        <v>14</v>
      </c>
      <c r="D6" s="59" t="s">
        <v>93</v>
      </c>
      <c r="E6" s="59" t="s">
        <v>95</v>
      </c>
      <c r="F6" s="60" t="s">
        <v>119</v>
      </c>
      <c r="G6" s="59">
        <v>4</v>
      </c>
      <c r="H6" s="59">
        <f>G6*1.5</f>
        <v>6</v>
      </c>
      <c r="I6" s="59" t="s">
        <v>167</v>
      </c>
      <c r="J6" s="44"/>
      <c r="K6" s="59">
        <f>J6*1.5</f>
        <v>0</v>
      </c>
      <c r="L6" s="61" t="s">
        <v>66</v>
      </c>
    </row>
    <row r="7" spans="1:12" ht="186" customHeight="1" x14ac:dyDescent="0.25">
      <c r="A7" s="57">
        <v>3</v>
      </c>
      <c r="B7" s="63" t="s">
        <v>21</v>
      </c>
      <c r="C7" s="59" t="s">
        <v>14</v>
      </c>
      <c r="D7" s="59" t="s">
        <v>93</v>
      </c>
      <c r="E7" s="59" t="s">
        <v>120</v>
      </c>
      <c r="F7" s="60" t="s">
        <v>188</v>
      </c>
      <c r="G7" s="59">
        <v>4</v>
      </c>
      <c r="H7" s="59">
        <f>G7</f>
        <v>4</v>
      </c>
      <c r="I7" s="64" t="s">
        <v>189</v>
      </c>
      <c r="J7" s="44"/>
      <c r="K7" s="59">
        <f>J7</f>
        <v>0</v>
      </c>
      <c r="L7" s="61" t="s">
        <v>121</v>
      </c>
    </row>
    <row r="8" spans="1:12" ht="60" x14ac:dyDescent="0.25">
      <c r="A8" s="57">
        <v>4</v>
      </c>
      <c r="B8" s="63" t="s">
        <v>21</v>
      </c>
      <c r="C8" s="59" t="s">
        <v>14</v>
      </c>
      <c r="D8" s="59" t="s">
        <v>93</v>
      </c>
      <c r="E8" s="59" t="s">
        <v>120</v>
      </c>
      <c r="F8" s="60" t="s">
        <v>190</v>
      </c>
      <c r="G8" s="59">
        <v>4</v>
      </c>
      <c r="H8" s="59">
        <f>G8</f>
        <v>4</v>
      </c>
      <c r="I8" s="59" t="s">
        <v>135</v>
      </c>
      <c r="J8" s="44"/>
      <c r="K8" s="59">
        <f>J8</f>
        <v>0</v>
      </c>
      <c r="L8" s="61" t="s">
        <v>34</v>
      </c>
    </row>
    <row r="9" spans="1:12" ht="90" x14ac:dyDescent="0.25">
      <c r="A9" s="57">
        <v>5</v>
      </c>
      <c r="B9" s="58" t="s">
        <v>13</v>
      </c>
      <c r="C9" s="59" t="s">
        <v>14</v>
      </c>
      <c r="D9" s="59" t="s">
        <v>96</v>
      </c>
      <c r="E9" s="59" t="s">
        <v>92</v>
      </c>
      <c r="F9" s="60" t="s">
        <v>47</v>
      </c>
      <c r="G9" s="59">
        <v>4</v>
      </c>
      <c r="H9" s="59">
        <f>G9*2</f>
        <v>8</v>
      </c>
      <c r="I9" s="59" t="s">
        <v>136</v>
      </c>
      <c r="J9" s="44"/>
      <c r="K9" s="59">
        <f>J9*2</f>
        <v>0</v>
      </c>
      <c r="L9" s="61" t="s">
        <v>62</v>
      </c>
    </row>
    <row r="10" spans="1:12" ht="210" x14ac:dyDescent="0.25">
      <c r="A10" s="57">
        <v>6</v>
      </c>
      <c r="B10" s="62" t="s">
        <v>18</v>
      </c>
      <c r="C10" s="59" t="s">
        <v>14</v>
      </c>
      <c r="D10" s="59" t="s">
        <v>96</v>
      </c>
      <c r="E10" s="59" t="s">
        <v>97</v>
      </c>
      <c r="F10" s="60" t="s">
        <v>122</v>
      </c>
      <c r="G10" s="59">
        <v>4</v>
      </c>
      <c r="H10" s="59">
        <f>G10*1.5</f>
        <v>6</v>
      </c>
      <c r="I10" s="59" t="s">
        <v>173</v>
      </c>
      <c r="J10" s="44"/>
      <c r="K10" s="59">
        <f>J10*1.5</f>
        <v>0</v>
      </c>
      <c r="L10" s="61"/>
    </row>
    <row r="11" spans="1:12" ht="96" x14ac:dyDescent="0.25">
      <c r="A11" s="57">
        <v>7</v>
      </c>
      <c r="B11" s="63" t="s">
        <v>21</v>
      </c>
      <c r="C11" s="59" t="s">
        <v>14</v>
      </c>
      <c r="D11" s="59" t="s">
        <v>96</v>
      </c>
      <c r="E11" s="59" t="s">
        <v>98</v>
      </c>
      <c r="F11" s="60" t="s">
        <v>87</v>
      </c>
      <c r="G11" s="59">
        <v>4</v>
      </c>
      <c r="H11" s="59">
        <f>G11</f>
        <v>4</v>
      </c>
      <c r="I11" s="59" t="s">
        <v>137</v>
      </c>
      <c r="J11" s="44"/>
      <c r="K11" s="59">
        <f>J11</f>
        <v>0</v>
      </c>
      <c r="L11" s="61" t="s">
        <v>86</v>
      </c>
    </row>
    <row r="12" spans="1:12" ht="150" x14ac:dyDescent="0.25">
      <c r="A12" s="57">
        <v>8</v>
      </c>
      <c r="B12" s="58" t="s">
        <v>13</v>
      </c>
      <c r="C12" s="59" t="s">
        <v>14</v>
      </c>
      <c r="D12" s="59" t="s">
        <v>100</v>
      </c>
      <c r="E12" s="59" t="s">
        <v>101</v>
      </c>
      <c r="F12" s="60" t="s">
        <v>88</v>
      </c>
      <c r="G12" s="59">
        <v>4</v>
      </c>
      <c r="H12" s="59">
        <f>G12*2</f>
        <v>8</v>
      </c>
      <c r="I12" s="59" t="s">
        <v>138</v>
      </c>
      <c r="J12" s="44"/>
      <c r="K12" s="59">
        <f>J12*2</f>
        <v>0</v>
      </c>
      <c r="L12" s="61" t="s">
        <v>63</v>
      </c>
    </row>
    <row r="13" spans="1:12" ht="120" x14ac:dyDescent="0.25">
      <c r="A13" s="57">
        <v>9</v>
      </c>
      <c r="B13" s="63" t="s">
        <v>21</v>
      </c>
      <c r="C13" s="59" t="s">
        <v>14</v>
      </c>
      <c r="D13" s="59" t="s">
        <v>100</v>
      </c>
      <c r="E13" s="59" t="s">
        <v>104</v>
      </c>
      <c r="F13" s="60" t="s">
        <v>89</v>
      </c>
      <c r="G13" s="59">
        <v>4</v>
      </c>
      <c r="H13" s="59">
        <f>G13</f>
        <v>4</v>
      </c>
      <c r="I13" s="59" t="s">
        <v>139</v>
      </c>
      <c r="J13" s="44"/>
      <c r="K13" s="59">
        <f>J13</f>
        <v>0</v>
      </c>
      <c r="L13" s="61"/>
    </row>
    <row r="14" spans="1:12" ht="165" x14ac:dyDescent="0.25">
      <c r="A14" s="57">
        <v>10</v>
      </c>
      <c r="B14" s="62" t="s">
        <v>18</v>
      </c>
      <c r="C14" s="59" t="s">
        <v>14</v>
      </c>
      <c r="D14" s="59" t="s">
        <v>100</v>
      </c>
      <c r="E14" s="59" t="s">
        <v>102</v>
      </c>
      <c r="F14" s="60" t="s">
        <v>90</v>
      </c>
      <c r="G14" s="59">
        <v>4</v>
      </c>
      <c r="H14" s="59">
        <f>G14*1.5</f>
        <v>6</v>
      </c>
      <c r="I14" s="59" t="s">
        <v>140</v>
      </c>
      <c r="J14" s="44"/>
      <c r="K14" s="59">
        <f>J14*1.5</f>
        <v>0</v>
      </c>
      <c r="L14" s="61" t="s">
        <v>67</v>
      </c>
    </row>
    <row r="15" spans="1:12" ht="90" x14ac:dyDescent="0.25">
      <c r="A15" s="57">
        <v>11</v>
      </c>
      <c r="B15" s="63" t="s">
        <v>21</v>
      </c>
      <c r="C15" s="59" t="s">
        <v>14</v>
      </c>
      <c r="D15" s="59" t="s">
        <v>100</v>
      </c>
      <c r="E15" s="59" t="s">
        <v>103</v>
      </c>
      <c r="F15" s="60" t="s">
        <v>123</v>
      </c>
      <c r="G15" s="59">
        <v>4</v>
      </c>
      <c r="H15" s="59">
        <f>G15</f>
        <v>4</v>
      </c>
      <c r="I15" s="59" t="s">
        <v>141</v>
      </c>
      <c r="J15" s="44"/>
      <c r="K15" s="59">
        <f>J15</f>
        <v>0</v>
      </c>
      <c r="L15" s="61" t="s">
        <v>78</v>
      </c>
    </row>
    <row r="16" spans="1:12" ht="72" x14ac:dyDescent="0.25">
      <c r="A16" s="57">
        <v>12</v>
      </c>
      <c r="B16" s="58" t="s">
        <v>13</v>
      </c>
      <c r="C16" s="59" t="s">
        <v>14</v>
      </c>
      <c r="D16" s="59" t="s">
        <v>106</v>
      </c>
      <c r="E16" s="59" t="s">
        <v>105</v>
      </c>
      <c r="F16" s="60" t="s">
        <v>49</v>
      </c>
      <c r="G16" s="59">
        <v>4</v>
      </c>
      <c r="H16" s="59">
        <f>G16*2</f>
        <v>8</v>
      </c>
      <c r="I16" s="59" t="s">
        <v>142</v>
      </c>
      <c r="J16" s="44"/>
      <c r="K16" s="59">
        <f>J16*2</f>
        <v>0</v>
      </c>
      <c r="L16" s="61" t="s">
        <v>64</v>
      </c>
    </row>
    <row r="17" spans="1:12" ht="84" customHeight="1" x14ac:dyDescent="0.25">
      <c r="A17" s="57">
        <v>13</v>
      </c>
      <c r="B17" s="58" t="s">
        <v>13</v>
      </c>
      <c r="C17" s="64" t="s">
        <v>14</v>
      </c>
      <c r="D17" s="59" t="s">
        <v>106</v>
      </c>
      <c r="E17" s="64" t="s">
        <v>107</v>
      </c>
      <c r="F17" s="65" t="s">
        <v>77</v>
      </c>
      <c r="G17" s="64">
        <v>4</v>
      </c>
      <c r="H17" s="64">
        <f>G17*2</f>
        <v>8</v>
      </c>
      <c r="I17" s="64" t="s">
        <v>143</v>
      </c>
      <c r="J17" s="44"/>
      <c r="K17" s="64">
        <f>J17*2</f>
        <v>0</v>
      </c>
      <c r="L17" s="66" t="s">
        <v>65</v>
      </c>
    </row>
    <row r="18" spans="1:12" ht="45" x14ac:dyDescent="0.25">
      <c r="A18" s="57">
        <v>14</v>
      </c>
      <c r="B18" s="62" t="s">
        <v>18</v>
      </c>
      <c r="C18" s="59" t="s">
        <v>14</v>
      </c>
      <c r="D18" s="59" t="s">
        <v>106</v>
      </c>
      <c r="E18" s="59" t="s">
        <v>108</v>
      </c>
      <c r="F18" s="60" t="s">
        <v>50</v>
      </c>
      <c r="G18" s="59">
        <v>4</v>
      </c>
      <c r="H18" s="59">
        <f>G18*1.5</f>
        <v>6</v>
      </c>
      <c r="I18" s="59" t="s">
        <v>144</v>
      </c>
      <c r="J18" s="44"/>
      <c r="K18" s="59">
        <f>J18*1.5</f>
        <v>0</v>
      </c>
      <c r="L18" s="61"/>
    </row>
    <row r="19" spans="1:12" ht="120" x14ac:dyDescent="0.25">
      <c r="A19" s="57">
        <v>15</v>
      </c>
      <c r="B19" s="62" t="s">
        <v>18</v>
      </c>
      <c r="C19" s="59" t="s">
        <v>14</v>
      </c>
      <c r="D19" s="59" t="s">
        <v>106</v>
      </c>
      <c r="E19" s="59" t="s">
        <v>109</v>
      </c>
      <c r="F19" s="60" t="s">
        <v>124</v>
      </c>
      <c r="G19" s="59">
        <v>4</v>
      </c>
      <c r="H19" s="59">
        <f>G19*1.5</f>
        <v>6</v>
      </c>
      <c r="I19" s="59" t="s">
        <v>191</v>
      </c>
      <c r="J19" s="44"/>
      <c r="K19" s="59">
        <f>J19*1.5</f>
        <v>0</v>
      </c>
      <c r="L19" s="61" t="s">
        <v>73</v>
      </c>
    </row>
    <row r="20" spans="1:12" ht="135" x14ac:dyDescent="0.25">
      <c r="A20" s="57">
        <v>16</v>
      </c>
      <c r="B20" s="63" t="s">
        <v>21</v>
      </c>
      <c r="C20" s="59" t="s">
        <v>14</v>
      </c>
      <c r="D20" s="59" t="s">
        <v>106</v>
      </c>
      <c r="E20" s="59" t="s">
        <v>110</v>
      </c>
      <c r="F20" s="60" t="s">
        <v>125</v>
      </c>
      <c r="G20" s="59">
        <v>4</v>
      </c>
      <c r="H20" s="59">
        <f>G20</f>
        <v>4</v>
      </c>
      <c r="I20" s="59" t="s">
        <v>174</v>
      </c>
      <c r="J20" s="44"/>
      <c r="K20" s="59">
        <f>J20</f>
        <v>0</v>
      </c>
      <c r="L20" s="61" t="s">
        <v>69</v>
      </c>
    </row>
    <row r="21" spans="1:12" ht="120" x14ac:dyDescent="0.25">
      <c r="A21" s="57">
        <v>17</v>
      </c>
      <c r="B21" s="63" t="s">
        <v>21</v>
      </c>
      <c r="C21" s="59" t="s">
        <v>14</v>
      </c>
      <c r="D21" s="59" t="s">
        <v>106</v>
      </c>
      <c r="E21" s="59" t="s">
        <v>111</v>
      </c>
      <c r="F21" s="60" t="s">
        <v>126</v>
      </c>
      <c r="G21" s="59">
        <v>4</v>
      </c>
      <c r="H21" s="59">
        <f>G21</f>
        <v>4</v>
      </c>
      <c r="I21" s="59" t="s">
        <v>145</v>
      </c>
      <c r="J21" s="44"/>
      <c r="K21" s="59">
        <f>J21</f>
        <v>0</v>
      </c>
      <c r="L21" s="61" t="s">
        <v>68</v>
      </c>
    </row>
    <row r="22" spans="1:12" ht="134.25" customHeight="1" x14ac:dyDescent="0.25">
      <c r="A22" s="57">
        <v>18</v>
      </c>
      <c r="B22" s="62" t="s">
        <v>18</v>
      </c>
      <c r="C22" s="59" t="s">
        <v>14</v>
      </c>
      <c r="D22" s="59" t="s">
        <v>112</v>
      </c>
      <c r="E22" s="59" t="s">
        <v>127</v>
      </c>
      <c r="F22" s="60" t="s">
        <v>192</v>
      </c>
      <c r="G22" s="59">
        <v>4</v>
      </c>
      <c r="H22" s="59">
        <f>G22*1.5</f>
        <v>6</v>
      </c>
      <c r="I22" s="64" t="s">
        <v>193</v>
      </c>
      <c r="J22" s="44"/>
      <c r="K22" s="59">
        <f>J22*1.5</f>
        <v>0</v>
      </c>
      <c r="L22" s="61" t="s">
        <v>134</v>
      </c>
    </row>
    <row r="23" spans="1:12" ht="150" x14ac:dyDescent="0.25">
      <c r="A23" s="57">
        <v>19</v>
      </c>
      <c r="B23" s="58" t="s">
        <v>13</v>
      </c>
      <c r="C23" s="59" t="s">
        <v>14</v>
      </c>
      <c r="D23" s="59" t="s">
        <v>112</v>
      </c>
      <c r="E23" s="59" t="s">
        <v>128</v>
      </c>
      <c r="F23" s="60" t="s">
        <v>129</v>
      </c>
      <c r="G23" s="59">
        <v>4</v>
      </c>
      <c r="H23" s="59">
        <f>G23*2</f>
        <v>8</v>
      </c>
      <c r="I23" s="59" t="s">
        <v>175</v>
      </c>
      <c r="J23" s="44"/>
      <c r="K23" s="59">
        <f>J23*2</f>
        <v>0</v>
      </c>
      <c r="L23" s="61"/>
    </row>
    <row r="24" spans="1:12" ht="45" x14ac:dyDescent="0.25">
      <c r="A24" s="57">
        <v>20</v>
      </c>
      <c r="B24" s="63" t="s">
        <v>21</v>
      </c>
      <c r="C24" s="59" t="s">
        <v>14</v>
      </c>
      <c r="D24" s="59" t="s">
        <v>112</v>
      </c>
      <c r="E24" s="59" t="s">
        <v>130</v>
      </c>
      <c r="F24" s="60" t="s">
        <v>131</v>
      </c>
      <c r="G24" s="59">
        <v>4</v>
      </c>
      <c r="H24" s="59">
        <f>G24</f>
        <v>4</v>
      </c>
      <c r="I24" s="59" t="s">
        <v>146</v>
      </c>
      <c r="J24" s="44"/>
      <c r="K24" s="59">
        <f>J24</f>
        <v>0</v>
      </c>
      <c r="L24" s="61"/>
    </row>
    <row r="25" spans="1:12" ht="165" x14ac:dyDescent="0.25">
      <c r="A25" s="57">
        <v>21</v>
      </c>
      <c r="B25" s="62" t="s">
        <v>18</v>
      </c>
      <c r="C25" s="59" t="s">
        <v>14</v>
      </c>
      <c r="D25" s="59" t="s">
        <v>112</v>
      </c>
      <c r="E25" s="59" t="s">
        <v>132</v>
      </c>
      <c r="F25" s="60" t="s">
        <v>176</v>
      </c>
      <c r="G25" s="59">
        <v>4</v>
      </c>
      <c r="H25" s="59">
        <f>G25*1.5</f>
        <v>6</v>
      </c>
      <c r="I25" s="59" t="s">
        <v>177</v>
      </c>
      <c r="J25" s="44"/>
      <c r="K25" s="59">
        <f>J25*1.5</f>
        <v>0</v>
      </c>
      <c r="L25" s="61" t="s">
        <v>133</v>
      </c>
    </row>
    <row r="26" spans="1:12" ht="21" x14ac:dyDescent="0.35">
      <c r="A26" s="67"/>
      <c r="B26" s="67"/>
      <c r="C26" s="68"/>
      <c r="D26" s="69"/>
      <c r="E26" s="69"/>
      <c r="F26" s="70"/>
      <c r="G26" s="71">
        <f>SUM(G5:G25)</f>
        <v>84</v>
      </c>
      <c r="H26" s="71">
        <f>SUM(H5:H25)</f>
        <v>122</v>
      </c>
      <c r="I26" s="72"/>
      <c r="J26" s="73">
        <f>SUM(J5:J25)</f>
        <v>0</v>
      </c>
      <c r="K26" s="71">
        <f>SUM(K5:K25)</f>
        <v>0</v>
      </c>
      <c r="L26" s="69"/>
    </row>
    <row r="27" spans="1:12" ht="33" x14ac:dyDescent="0.35">
      <c r="A27" s="67"/>
      <c r="B27" s="67"/>
      <c r="C27" s="68"/>
      <c r="D27" s="69"/>
      <c r="E27" s="69"/>
      <c r="F27" s="70"/>
      <c r="G27" s="74" t="s">
        <v>170</v>
      </c>
      <c r="H27" s="74" t="s">
        <v>171</v>
      </c>
      <c r="I27" s="72"/>
      <c r="J27" s="74" t="s">
        <v>172</v>
      </c>
      <c r="K27" s="74" t="s">
        <v>178</v>
      </c>
      <c r="L27" s="69"/>
    </row>
  </sheetData>
  <sheetProtection sheet="1" selectLockedCells="1"/>
  <autoFilter ref="A4:L4">
    <sortState ref="A5:J26">
      <sortCondition ref="A4"/>
    </sortState>
  </autoFilter>
  <mergeCells count="3">
    <mergeCell ref="D1:L1"/>
    <mergeCell ref="A2:B2"/>
    <mergeCell ref="A3:B3"/>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L27"/>
  <sheetViews>
    <sheetView zoomScale="80" zoomScaleNormal="80" workbookViewId="0">
      <selection activeCell="J6" sqref="J6"/>
    </sheetView>
  </sheetViews>
  <sheetFormatPr defaultRowHeight="15" x14ac:dyDescent="0.25"/>
  <cols>
    <col min="2" max="5" width="20.7109375" customWidth="1"/>
    <col min="6" max="6" width="30.7109375" customWidth="1"/>
    <col min="7" max="8" width="20.7109375" customWidth="1"/>
    <col min="9" max="9" width="30.7109375" customWidth="1"/>
    <col min="10" max="10" width="20.7109375" customWidth="1"/>
    <col min="11" max="11" width="26.42578125" customWidth="1"/>
    <col min="12" max="12" width="60.7109375" customWidth="1"/>
  </cols>
  <sheetData>
    <row r="1" spans="1:12" ht="78.75" customHeight="1" x14ac:dyDescent="0.25">
      <c r="A1" s="45"/>
      <c r="B1" s="46"/>
      <c r="C1" s="46"/>
      <c r="D1" s="47" t="s">
        <v>214</v>
      </c>
      <c r="E1" s="47"/>
      <c r="F1" s="47"/>
      <c r="G1" s="47"/>
      <c r="H1" s="47"/>
      <c r="I1" s="47"/>
      <c r="J1" s="47"/>
      <c r="K1" s="47"/>
      <c r="L1" s="48"/>
    </row>
    <row r="2" spans="1:12" x14ac:dyDescent="0.25">
      <c r="A2" s="49" t="s">
        <v>45</v>
      </c>
      <c r="B2" s="50"/>
      <c r="C2" s="51">
        <f>'Final Scoring'!C2</f>
        <v>0</v>
      </c>
      <c r="D2" s="52"/>
      <c r="E2" s="52"/>
      <c r="F2" s="52"/>
      <c r="G2" s="52"/>
      <c r="H2" s="52"/>
      <c r="I2" s="52"/>
      <c r="J2" s="52"/>
      <c r="K2" s="52"/>
      <c r="L2" s="53"/>
    </row>
    <row r="3" spans="1:12" x14ac:dyDescent="0.25">
      <c r="A3" s="49" t="s">
        <v>39</v>
      </c>
      <c r="B3" s="50"/>
      <c r="C3" s="51">
        <f>'Final Scoring'!C3</f>
        <v>0</v>
      </c>
      <c r="D3" s="52"/>
      <c r="E3" s="52"/>
      <c r="F3" s="52"/>
      <c r="G3" s="52"/>
      <c r="H3" s="52"/>
      <c r="I3" s="52"/>
      <c r="J3" s="52"/>
      <c r="K3" s="52"/>
      <c r="L3" s="53"/>
    </row>
    <row r="4" spans="1:12" ht="45" x14ac:dyDescent="0.25">
      <c r="A4" s="54" t="s">
        <v>0</v>
      </c>
      <c r="B4" s="55" t="s">
        <v>1</v>
      </c>
      <c r="C4" s="55" t="s">
        <v>2</v>
      </c>
      <c r="D4" s="55" t="s">
        <v>3</v>
      </c>
      <c r="E4" s="55" t="s">
        <v>91</v>
      </c>
      <c r="F4" s="55" t="s">
        <v>4</v>
      </c>
      <c r="G4" s="55" t="s">
        <v>5</v>
      </c>
      <c r="H4" s="55" t="s">
        <v>169</v>
      </c>
      <c r="I4" s="55" t="s">
        <v>6</v>
      </c>
      <c r="J4" s="55" t="s">
        <v>38</v>
      </c>
      <c r="K4" s="55" t="s">
        <v>168</v>
      </c>
      <c r="L4" s="56" t="s">
        <v>7</v>
      </c>
    </row>
    <row r="5" spans="1:12" ht="195" x14ac:dyDescent="0.25">
      <c r="A5" s="57">
        <v>1</v>
      </c>
      <c r="B5" s="58" t="s">
        <v>13</v>
      </c>
      <c r="C5" s="59" t="s">
        <v>14</v>
      </c>
      <c r="D5" s="59" t="s">
        <v>93</v>
      </c>
      <c r="E5" s="59" t="s">
        <v>94</v>
      </c>
      <c r="F5" s="60" t="s">
        <v>99</v>
      </c>
      <c r="G5" s="59">
        <v>4</v>
      </c>
      <c r="H5" s="59">
        <f>G5*2</f>
        <v>8</v>
      </c>
      <c r="I5" s="59" t="s">
        <v>187</v>
      </c>
      <c r="J5" s="44"/>
      <c r="K5" s="59">
        <f>J5*2</f>
        <v>0</v>
      </c>
      <c r="L5" s="61" t="s">
        <v>61</v>
      </c>
    </row>
    <row r="6" spans="1:12" ht="198.75" customHeight="1" x14ac:dyDescent="0.25">
      <c r="A6" s="57">
        <v>2</v>
      </c>
      <c r="B6" s="62" t="s">
        <v>18</v>
      </c>
      <c r="C6" s="59" t="s">
        <v>14</v>
      </c>
      <c r="D6" s="59" t="s">
        <v>93</v>
      </c>
      <c r="E6" s="59" t="s">
        <v>95</v>
      </c>
      <c r="F6" s="60" t="s">
        <v>119</v>
      </c>
      <c r="G6" s="59">
        <v>4</v>
      </c>
      <c r="H6" s="59">
        <f>G6*1.5</f>
        <v>6</v>
      </c>
      <c r="I6" s="59" t="s">
        <v>167</v>
      </c>
      <c r="J6" s="44"/>
      <c r="K6" s="59">
        <f>J6*1.5</f>
        <v>0</v>
      </c>
      <c r="L6" s="61" t="s">
        <v>66</v>
      </c>
    </row>
    <row r="7" spans="1:12" ht="186" customHeight="1" x14ac:dyDescent="0.25">
      <c r="A7" s="57">
        <v>3</v>
      </c>
      <c r="B7" s="63" t="s">
        <v>21</v>
      </c>
      <c r="C7" s="59" t="s">
        <v>14</v>
      </c>
      <c r="D7" s="59" t="s">
        <v>93</v>
      </c>
      <c r="E7" s="59" t="s">
        <v>120</v>
      </c>
      <c r="F7" s="60" t="s">
        <v>188</v>
      </c>
      <c r="G7" s="59">
        <v>4</v>
      </c>
      <c r="H7" s="59">
        <f>G7</f>
        <v>4</v>
      </c>
      <c r="I7" s="64" t="s">
        <v>189</v>
      </c>
      <c r="J7" s="44"/>
      <c r="K7" s="59">
        <f>J7</f>
        <v>0</v>
      </c>
      <c r="L7" s="61" t="s">
        <v>121</v>
      </c>
    </row>
    <row r="8" spans="1:12" ht="60" x14ac:dyDescent="0.25">
      <c r="A8" s="57">
        <v>4</v>
      </c>
      <c r="B8" s="63" t="s">
        <v>21</v>
      </c>
      <c r="C8" s="59" t="s">
        <v>14</v>
      </c>
      <c r="D8" s="59" t="s">
        <v>93</v>
      </c>
      <c r="E8" s="59" t="s">
        <v>120</v>
      </c>
      <c r="F8" s="60" t="s">
        <v>190</v>
      </c>
      <c r="G8" s="59">
        <v>4</v>
      </c>
      <c r="H8" s="59">
        <f>G8</f>
        <v>4</v>
      </c>
      <c r="I8" s="59" t="s">
        <v>135</v>
      </c>
      <c r="J8" s="44"/>
      <c r="K8" s="59">
        <f>J8</f>
        <v>0</v>
      </c>
      <c r="L8" s="61" t="s">
        <v>34</v>
      </c>
    </row>
    <row r="9" spans="1:12" ht="90" x14ac:dyDescent="0.25">
      <c r="A9" s="57">
        <v>5</v>
      </c>
      <c r="B9" s="58" t="s">
        <v>13</v>
      </c>
      <c r="C9" s="59" t="s">
        <v>14</v>
      </c>
      <c r="D9" s="59" t="s">
        <v>96</v>
      </c>
      <c r="E9" s="59" t="s">
        <v>92</v>
      </c>
      <c r="F9" s="60" t="s">
        <v>47</v>
      </c>
      <c r="G9" s="59">
        <v>4</v>
      </c>
      <c r="H9" s="59">
        <f>G9*2</f>
        <v>8</v>
      </c>
      <c r="I9" s="59" t="s">
        <v>136</v>
      </c>
      <c r="J9" s="44"/>
      <c r="K9" s="59">
        <f>J9*2</f>
        <v>0</v>
      </c>
      <c r="L9" s="61" t="s">
        <v>62</v>
      </c>
    </row>
    <row r="10" spans="1:12" ht="210" x14ac:dyDescent="0.25">
      <c r="A10" s="57">
        <v>6</v>
      </c>
      <c r="B10" s="62" t="s">
        <v>18</v>
      </c>
      <c r="C10" s="59" t="s">
        <v>14</v>
      </c>
      <c r="D10" s="59" t="s">
        <v>96</v>
      </c>
      <c r="E10" s="59" t="s">
        <v>97</v>
      </c>
      <c r="F10" s="60" t="s">
        <v>122</v>
      </c>
      <c r="G10" s="59">
        <v>4</v>
      </c>
      <c r="H10" s="59">
        <f>G10*1.5</f>
        <v>6</v>
      </c>
      <c r="I10" s="59" t="s">
        <v>173</v>
      </c>
      <c r="J10" s="44"/>
      <c r="K10" s="59">
        <f>J10*1.5</f>
        <v>0</v>
      </c>
      <c r="L10" s="61"/>
    </row>
    <row r="11" spans="1:12" ht="96" x14ac:dyDescent="0.25">
      <c r="A11" s="57">
        <v>7</v>
      </c>
      <c r="B11" s="63" t="s">
        <v>21</v>
      </c>
      <c r="C11" s="59" t="s">
        <v>14</v>
      </c>
      <c r="D11" s="59" t="s">
        <v>96</v>
      </c>
      <c r="E11" s="59" t="s">
        <v>98</v>
      </c>
      <c r="F11" s="60" t="s">
        <v>87</v>
      </c>
      <c r="G11" s="59">
        <v>4</v>
      </c>
      <c r="H11" s="59">
        <f>G11</f>
        <v>4</v>
      </c>
      <c r="I11" s="59" t="s">
        <v>137</v>
      </c>
      <c r="J11" s="44"/>
      <c r="K11" s="59">
        <f>J11</f>
        <v>0</v>
      </c>
      <c r="L11" s="61" t="s">
        <v>86</v>
      </c>
    </row>
    <row r="12" spans="1:12" ht="150" x14ac:dyDescent="0.25">
      <c r="A12" s="57">
        <v>8</v>
      </c>
      <c r="B12" s="58" t="s">
        <v>13</v>
      </c>
      <c r="C12" s="59" t="s">
        <v>14</v>
      </c>
      <c r="D12" s="59" t="s">
        <v>100</v>
      </c>
      <c r="E12" s="59" t="s">
        <v>101</v>
      </c>
      <c r="F12" s="60" t="s">
        <v>88</v>
      </c>
      <c r="G12" s="59">
        <v>4</v>
      </c>
      <c r="H12" s="59">
        <f>G12*2</f>
        <v>8</v>
      </c>
      <c r="I12" s="59" t="s">
        <v>138</v>
      </c>
      <c r="J12" s="44"/>
      <c r="K12" s="59">
        <f>J12*2</f>
        <v>0</v>
      </c>
      <c r="L12" s="61" t="s">
        <v>63</v>
      </c>
    </row>
    <row r="13" spans="1:12" ht="120" x14ac:dyDescent="0.25">
      <c r="A13" s="57">
        <v>9</v>
      </c>
      <c r="B13" s="63" t="s">
        <v>21</v>
      </c>
      <c r="C13" s="59" t="s">
        <v>14</v>
      </c>
      <c r="D13" s="59" t="s">
        <v>100</v>
      </c>
      <c r="E13" s="59" t="s">
        <v>104</v>
      </c>
      <c r="F13" s="60" t="s">
        <v>89</v>
      </c>
      <c r="G13" s="59">
        <v>4</v>
      </c>
      <c r="H13" s="59">
        <f>G13</f>
        <v>4</v>
      </c>
      <c r="I13" s="59" t="s">
        <v>139</v>
      </c>
      <c r="J13" s="44"/>
      <c r="K13" s="59">
        <f>J13</f>
        <v>0</v>
      </c>
      <c r="L13" s="61"/>
    </row>
    <row r="14" spans="1:12" ht="165" x14ac:dyDescent="0.25">
      <c r="A14" s="57">
        <v>10</v>
      </c>
      <c r="B14" s="62" t="s">
        <v>18</v>
      </c>
      <c r="C14" s="59" t="s">
        <v>14</v>
      </c>
      <c r="D14" s="59" t="s">
        <v>100</v>
      </c>
      <c r="E14" s="59" t="s">
        <v>102</v>
      </c>
      <c r="F14" s="60" t="s">
        <v>90</v>
      </c>
      <c r="G14" s="59">
        <v>4</v>
      </c>
      <c r="H14" s="59">
        <f>G14*1.5</f>
        <v>6</v>
      </c>
      <c r="I14" s="59" t="s">
        <v>140</v>
      </c>
      <c r="J14" s="44"/>
      <c r="K14" s="59">
        <f>J14*1.5</f>
        <v>0</v>
      </c>
      <c r="L14" s="61" t="s">
        <v>67</v>
      </c>
    </row>
    <row r="15" spans="1:12" ht="90" x14ac:dyDescent="0.25">
      <c r="A15" s="57">
        <v>11</v>
      </c>
      <c r="B15" s="63" t="s">
        <v>21</v>
      </c>
      <c r="C15" s="59" t="s">
        <v>14</v>
      </c>
      <c r="D15" s="59" t="s">
        <v>100</v>
      </c>
      <c r="E15" s="59" t="s">
        <v>103</v>
      </c>
      <c r="F15" s="60" t="s">
        <v>123</v>
      </c>
      <c r="G15" s="59">
        <v>4</v>
      </c>
      <c r="H15" s="59">
        <f>G15</f>
        <v>4</v>
      </c>
      <c r="I15" s="59" t="s">
        <v>141</v>
      </c>
      <c r="J15" s="44"/>
      <c r="K15" s="59">
        <f>J15</f>
        <v>0</v>
      </c>
      <c r="L15" s="61" t="s">
        <v>78</v>
      </c>
    </row>
    <row r="16" spans="1:12" ht="72" x14ac:dyDescent="0.25">
      <c r="A16" s="57">
        <v>12</v>
      </c>
      <c r="B16" s="58" t="s">
        <v>13</v>
      </c>
      <c r="C16" s="59" t="s">
        <v>14</v>
      </c>
      <c r="D16" s="59" t="s">
        <v>106</v>
      </c>
      <c r="E16" s="59" t="s">
        <v>105</v>
      </c>
      <c r="F16" s="60" t="s">
        <v>49</v>
      </c>
      <c r="G16" s="59">
        <v>4</v>
      </c>
      <c r="H16" s="59">
        <f>G16*2</f>
        <v>8</v>
      </c>
      <c r="I16" s="59" t="s">
        <v>142</v>
      </c>
      <c r="J16" s="44"/>
      <c r="K16" s="59">
        <f>J16*2</f>
        <v>0</v>
      </c>
      <c r="L16" s="61" t="s">
        <v>64</v>
      </c>
    </row>
    <row r="17" spans="1:12" ht="84" customHeight="1" x14ac:dyDescent="0.25">
      <c r="A17" s="57">
        <v>13</v>
      </c>
      <c r="B17" s="58" t="s">
        <v>13</v>
      </c>
      <c r="C17" s="64" t="s">
        <v>14</v>
      </c>
      <c r="D17" s="59" t="s">
        <v>106</v>
      </c>
      <c r="E17" s="64" t="s">
        <v>107</v>
      </c>
      <c r="F17" s="65" t="s">
        <v>77</v>
      </c>
      <c r="G17" s="64">
        <v>4</v>
      </c>
      <c r="H17" s="64">
        <f>G17*2</f>
        <v>8</v>
      </c>
      <c r="I17" s="64" t="s">
        <v>143</v>
      </c>
      <c r="J17" s="44"/>
      <c r="K17" s="64">
        <f>J17*2</f>
        <v>0</v>
      </c>
      <c r="L17" s="66" t="s">
        <v>65</v>
      </c>
    </row>
    <row r="18" spans="1:12" ht="45" x14ac:dyDescent="0.25">
      <c r="A18" s="57">
        <v>14</v>
      </c>
      <c r="B18" s="62" t="s">
        <v>18</v>
      </c>
      <c r="C18" s="59" t="s">
        <v>14</v>
      </c>
      <c r="D18" s="59" t="s">
        <v>106</v>
      </c>
      <c r="E18" s="59" t="s">
        <v>108</v>
      </c>
      <c r="F18" s="60" t="s">
        <v>50</v>
      </c>
      <c r="G18" s="59">
        <v>4</v>
      </c>
      <c r="H18" s="59">
        <f>G18*1.5</f>
        <v>6</v>
      </c>
      <c r="I18" s="59" t="s">
        <v>144</v>
      </c>
      <c r="J18" s="44"/>
      <c r="K18" s="59">
        <f>J18*1.5</f>
        <v>0</v>
      </c>
      <c r="L18" s="61"/>
    </row>
    <row r="19" spans="1:12" ht="120" x14ac:dyDescent="0.25">
      <c r="A19" s="57">
        <v>15</v>
      </c>
      <c r="B19" s="62" t="s">
        <v>18</v>
      </c>
      <c r="C19" s="59" t="s">
        <v>14</v>
      </c>
      <c r="D19" s="59" t="s">
        <v>106</v>
      </c>
      <c r="E19" s="59" t="s">
        <v>109</v>
      </c>
      <c r="F19" s="60" t="s">
        <v>124</v>
      </c>
      <c r="G19" s="59">
        <v>4</v>
      </c>
      <c r="H19" s="59">
        <f>G19*1.5</f>
        <v>6</v>
      </c>
      <c r="I19" s="59" t="s">
        <v>191</v>
      </c>
      <c r="J19" s="44"/>
      <c r="K19" s="59">
        <f>J19*1.5</f>
        <v>0</v>
      </c>
      <c r="L19" s="61" t="s">
        <v>73</v>
      </c>
    </row>
    <row r="20" spans="1:12" ht="135" x14ac:dyDescent="0.25">
      <c r="A20" s="57">
        <v>16</v>
      </c>
      <c r="B20" s="63" t="s">
        <v>21</v>
      </c>
      <c r="C20" s="59" t="s">
        <v>14</v>
      </c>
      <c r="D20" s="59" t="s">
        <v>106</v>
      </c>
      <c r="E20" s="59" t="s">
        <v>110</v>
      </c>
      <c r="F20" s="60" t="s">
        <v>125</v>
      </c>
      <c r="G20" s="59">
        <v>4</v>
      </c>
      <c r="H20" s="59">
        <f>G20</f>
        <v>4</v>
      </c>
      <c r="I20" s="59" t="s">
        <v>174</v>
      </c>
      <c r="J20" s="44"/>
      <c r="K20" s="59">
        <f>J20</f>
        <v>0</v>
      </c>
      <c r="L20" s="61" t="s">
        <v>69</v>
      </c>
    </row>
    <row r="21" spans="1:12" ht="120" x14ac:dyDescent="0.25">
      <c r="A21" s="57">
        <v>17</v>
      </c>
      <c r="B21" s="63" t="s">
        <v>21</v>
      </c>
      <c r="C21" s="59" t="s">
        <v>14</v>
      </c>
      <c r="D21" s="59" t="s">
        <v>106</v>
      </c>
      <c r="E21" s="59" t="s">
        <v>111</v>
      </c>
      <c r="F21" s="60" t="s">
        <v>126</v>
      </c>
      <c r="G21" s="59">
        <v>4</v>
      </c>
      <c r="H21" s="59">
        <f>G21</f>
        <v>4</v>
      </c>
      <c r="I21" s="59" t="s">
        <v>145</v>
      </c>
      <c r="J21" s="44"/>
      <c r="K21" s="59">
        <f>J21</f>
        <v>0</v>
      </c>
      <c r="L21" s="61" t="s">
        <v>68</v>
      </c>
    </row>
    <row r="22" spans="1:12" ht="134.25" customHeight="1" x14ac:dyDescent="0.25">
      <c r="A22" s="57">
        <v>18</v>
      </c>
      <c r="B22" s="62" t="s">
        <v>18</v>
      </c>
      <c r="C22" s="59" t="s">
        <v>14</v>
      </c>
      <c r="D22" s="59" t="s">
        <v>112</v>
      </c>
      <c r="E22" s="59" t="s">
        <v>127</v>
      </c>
      <c r="F22" s="60" t="s">
        <v>192</v>
      </c>
      <c r="G22" s="59">
        <v>4</v>
      </c>
      <c r="H22" s="59">
        <f>G22*1.5</f>
        <v>6</v>
      </c>
      <c r="I22" s="64" t="s">
        <v>193</v>
      </c>
      <c r="J22" s="44"/>
      <c r="K22" s="59">
        <f>J22*1.5</f>
        <v>0</v>
      </c>
      <c r="L22" s="61" t="s">
        <v>134</v>
      </c>
    </row>
    <row r="23" spans="1:12" ht="150" x14ac:dyDescent="0.25">
      <c r="A23" s="57">
        <v>19</v>
      </c>
      <c r="B23" s="58" t="s">
        <v>13</v>
      </c>
      <c r="C23" s="59" t="s">
        <v>14</v>
      </c>
      <c r="D23" s="59" t="s">
        <v>112</v>
      </c>
      <c r="E23" s="59" t="s">
        <v>128</v>
      </c>
      <c r="F23" s="60" t="s">
        <v>129</v>
      </c>
      <c r="G23" s="59">
        <v>4</v>
      </c>
      <c r="H23" s="59">
        <f>G23*2</f>
        <v>8</v>
      </c>
      <c r="I23" s="59" t="s">
        <v>175</v>
      </c>
      <c r="J23" s="44"/>
      <c r="K23" s="59">
        <f>J23*2</f>
        <v>0</v>
      </c>
      <c r="L23" s="61"/>
    </row>
    <row r="24" spans="1:12" ht="45" x14ac:dyDescent="0.25">
      <c r="A24" s="57">
        <v>20</v>
      </c>
      <c r="B24" s="63" t="s">
        <v>21</v>
      </c>
      <c r="C24" s="59" t="s">
        <v>14</v>
      </c>
      <c r="D24" s="59" t="s">
        <v>112</v>
      </c>
      <c r="E24" s="59" t="s">
        <v>130</v>
      </c>
      <c r="F24" s="60" t="s">
        <v>131</v>
      </c>
      <c r="G24" s="59">
        <v>4</v>
      </c>
      <c r="H24" s="59">
        <f>G24</f>
        <v>4</v>
      </c>
      <c r="I24" s="59" t="s">
        <v>146</v>
      </c>
      <c r="J24" s="44"/>
      <c r="K24" s="59">
        <f>J24</f>
        <v>0</v>
      </c>
      <c r="L24" s="61"/>
    </row>
    <row r="25" spans="1:12" ht="165" x14ac:dyDescent="0.25">
      <c r="A25" s="57">
        <v>21</v>
      </c>
      <c r="B25" s="62" t="s">
        <v>18</v>
      </c>
      <c r="C25" s="59" t="s">
        <v>14</v>
      </c>
      <c r="D25" s="59" t="s">
        <v>112</v>
      </c>
      <c r="E25" s="59" t="s">
        <v>132</v>
      </c>
      <c r="F25" s="60" t="s">
        <v>176</v>
      </c>
      <c r="G25" s="59">
        <v>4</v>
      </c>
      <c r="H25" s="59">
        <f>G25*1.5</f>
        <v>6</v>
      </c>
      <c r="I25" s="59" t="s">
        <v>177</v>
      </c>
      <c r="J25" s="44"/>
      <c r="K25" s="59">
        <f>J25*1.5</f>
        <v>0</v>
      </c>
      <c r="L25" s="61" t="s">
        <v>133</v>
      </c>
    </row>
    <row r="26" spans="1:12" ht="21" x14ac:dyDescent="0.35">
      <c r="A26" s="67"/>
      <c r="B26" s="67"/>
      <c r="C26" s="68"/>
      <c r="D26" s="69"/>
      <c r="E26" s="69"/>
      <c r="F26" s="70"/>
      <c r="G26" s="71">
        <f>SUM(G5:G25)</f>
        <v>84</v>
      </c>
      <c r="H26" s="71">
        <f>SUM(H5:H25)</f>
        <v>122</v>
      </c>
      <c r="I26" s="72"/>
      <c r="J26" s="73">
        <f>SUM(J5:J25)</f>
        <v>0</v>
      </c>
      <c r="K26" s="71">
        <f>SUM(K5:K25)</f>
        <v>0</v>
      </c>
      <c r="L26" s="69"/>
    </row>
    <row r="27" spans="1:12" ht="33" x14ac:dyDescent="0.35">
      <c r="A27" s="67"/>
      <c r="B27" s="67"/>
      <c r="C27" s="68"/>
      <c r="D27" s="69"/>
      <c r="E27" s="69"/>
      <c r="F27" s="70"/>
      <c r="G27" s="74" t="s">
        <v>170</v>
      </c>
      <c r="H27" s="74" t="s">
        <v>171</v>
      </c>
      <c r="I27" s="72"/>
      <c r="J27" s="74" t="s">
        <v>172</v>
      </c>
      <c r="K27" s="74" t="s">
        <v>178</v>
      </c>
      <c r="L27" s="69"/>
    </row>
  </sheetData>
  <sheetProtection sheet="1" selectLockedCells="1"/>
  <autoFilter ref="A4:L4">
    <sortState ref="A5:J26">
      <sortCondition ref="A4"/>
    </sortState>
  </autoFilter>
  <mergeCells count="3">
    <mergeCell ref="D1:L1"/>
    <mergeCell ref="A2:B2"/>
    <mergeCell ref="A3:B3"/>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L27"/>
  <sheetViews>
    <sheetView zoomScale="80" zoomScaleNormal="80" workbookViewId="0">
      <selection activeCell="J8" sqref="J8"/>
    </sheetView>
  </sheetViews>
  <sheetFormatPr defaultRowHeight="15" x14ac:dyDescent="0.25"/>
  <cols>
    <col min="2" max="5" width="20.7109375" customWidth="1"/>
    <col min="6" max="6" width="30.7109375" customWidth="1"/>
    <col min="7" max="8" width="20.7109375" customWidth="1"/>
    <col min="9" max="9" width="30.7109375" customWidth="1"/>
    <col min="10" max="10" width="20.7109375" customWidth="1"/>
    <col min="11" max="11" width="26.42578125" customWidth="1"/>
    <col min="12" max="12" width="60.7109375" customWidth="1"/>
  </cols>
  <sheetData>
    <row r="1" spans="1:12" ht="78.75" customHeight="1" x14ac:dyDescent="0.25">
      <c r="A1" s="45"/>
      <c r="B1" s="46"/>
      <c r="C1" s="46"/>
      <c r="D1" s="47" t="s">
        <v>215</v>
      </c>
      <c r="E1" s="47"/>
      <c r="F1" s="47"/>
      <c r="G1" s="47"/>
      <c r="H1" s="47"/>
      <c r="I1" s="47"/>
      <c r="J1" s="47"/>
      <c r="K1" s="47"/>
      <c r="L1" s="48"/>
    </row>
    <row r="2" spans="1:12" x14ac:dyDescent="0.25">
      <c r="A2" s="49" t="s">
        <v>45</v>
      </c>
      <c r="B2" s="50"/>
      <c r="C2" s="51">
        <f>'Final Scoring'!C2</f>
        <v>0</v>
      </c>
      <c r="D2" s="52"/>
      <c r="E2" s="52"/>
      <c r="F2" s="52"/>
      <c r="G2" s="52"/>
      <c r="H2" s="52"/>
      <c r="I2" s="52"/>
      <c r="J2" s="52"/>
      <c r="K2" s="52"/>
      <c r="L2" s="53"/>
    </row>
    <row r="3" spans="1:12" x14ac:dyDescent="0.25">
      <c r="A3" s="49" t="s">
        <v>39</v>
      </c>
      <c r="B3" s="50"/>
      <c r="C3" s="51">
        <f>'Final Scoring'!C3</f>
        <v>0</v>
      </c>
      <c r="D3" s="52"/>
      <c r="E3" s="52"/>
      <c r="F3" s="52"/>
      <c r="G3" s="52"/>
      <c r="H3" s="52"/>
      <c r="I3" s="52"/>
      <c r="J3" s="52"/>
      <c r="K3" s="52"/>
      <c r="L3" s="53"/>
    </row>
    <row r="4" spans="1:12" ht="45" x14ac:dyDescent="0.25">
      <c r="A4" s="54" t="s">
        <v>0</v>
      </c>
      <c r="B4" s="55" t="s">
        <v>1</v>
      </c>
      <c r="C4" s="55" t="s">
        <v>2</v>
      </c>
      <c r="D4" s="55" t="s">
        <v>3</v>
      </c>
      <c r="E4" s="55" t="s">
        <v>91</v>
      </c>
      <c r="F4" s="55" t="s">
        <v>4</v>
      </c>
      <c r="G4" s="55" t="s">
        <v>5</v>
      </c>
      <c r="H4" s="55" t="s">
        <v>169</v>
      </c>
      <c r="I4" s="55" t="s">
        <v>6</v>
      </c>
      <c r="J4" s="55" t="s">
        <v>38</v>
      </c>
      <c r="K4" s="55" t="s">
        <v>168</v>
      </c>
      <c r="L4" s="56" t="s">
        <v>7</v>
      </c>
    </row>
    <row r="5" spans="1:12" ht="195" x14ac:dyDescent="0.25">
      <c r="A5" s="57">
        <v>1</v>
      </c>
      <c r="B5" s="58" t="s">
        <v>13</v>
      </c>
      <c r="C5" s="59" t="s">
        <v>14</v>
      </c>
      <c r="D5" s="59" t="s">
        <v>93</v>
      </c>
      <c r="E5" s="59" t="s">
        <v>94</v>
      </c>
      <c r="F5" s="60" t="s">
        <v>99</v>
      </c>
      <c r="G5" s="59">
        <v>4</v>
      </c>
      <c r="H5" s="59">
        <f>G5*2</f>
        <v>8</v>
      </c>
      <c r="I5" s="59" t="s">
        <v>187</v>
      </c>
      <c r="J5" s="44"/>
      <c r="K5" s="59">
        <f>J5*2</f>
        <v>0</v>
      </c>
      <c r="L5" s="61" t="s">
        <v>61</v>
      </c>
    </row>
    <row r="6" spans="1:12" ht="198.75" customHeight="1" x14ac:dyDescent="0.25">
      <c r="A6" s="57">
        <v>2</v>
      </c>
      <c r="B6" s="62" t="s">
        <v>18</v>
      </c>
      <c r="C6" s="59" t="s">
        <v>14</v>
      </c>
      <c r="D6" s="59" t="s">
        <v>93</v>
      </c>
      <c r="E6" s="59" t="s">
        <v>95</v>
      </c>
      <c r="F6" s="60" t="s">
        <v>119</v>
      </c>
      <c r="G6" s="59">
        <v>4</v>
      </c>
      <c r="H6" s="59">
        <f>G6*1.5</f>
        <v>6</v>
      </c>
      <c r="I6" s="59" t="s">
        <v>167</v>
      </c>
      <c r="J6" s="44"/>
      <c r="K6" s="59">
        <f>J6*1.5</f>
        <v>0</v>
      </c>
      <c r="L6" s="61" t="s">
        <v>66</v>
      </c>
    </row>
    <row r="7" spans="1:12" ht="186" customHeight="1" x14ac:dyDescent="0.25">
      <c r="A7" s="57">
        <v>3</v>
      </c>
      <c r="B7" s="63" t="s">
        <v>21</v>
      </c>
      <c r="C7" s="59" t="s">
        <v>14</v>
      </c>
      <c r="D7" s="59" t="s">
        <v>93</v>
      </c>
      <c r="E7" s="59" t="s">
        <v>120</v>
      </c>
      <c r="F7" s="60" t="s">
        <v>188</v>
      </c>
      <c r="G7" s="59">
        <v>4</v>
      </c>
      <c r="H7" s="59">
        <f>G7</f>
        <v>4</v>
      </c>
      <c r="I7" s="64" t="s">
        <v>189</v>
      </c>
      <c r="J7" s="44"/>
      <c r="K7" s="59">
        <f>J7</f>
        <v>0</v>
      </c>
      <c r="L7" s="61" t="s">
        <v>121</v>
      </c>
    </row>
    <row r="8" spans="1:12" ht="60" x14ac:dyDescent="0.25">
      <c r="A8" s="57">
        <v>4</v>
      </c>
      <c r="B8" s="63" t="s">
        <v>21</v>
      </c>
      <c r="C8" s="59" t="s">
        <v>14</v>
      </c>
      <c r="D8" s="59" t="s">
        <v>93</v>
      </c>
      <c r="E8" s="59" t="s">
        <v>120</v>
      </c>
      <c r="F8" s="60" t="s">
        <v>190</v>
      </c>
      <c r="G8" s="59">
        <v>4</v>
      </c>
      <c r="H8" s="59">
        <f>G8</f>
        <v>4</v>
      </c>
      <c r="I8" s="59" t="s">
        <v>135</v>
      </c>
      <c r="J8" s="44"/>
      <c r="K8" s="59">
        <f>J8</f>
        <v>0</v>
      </c>
      <c r="L8" s="61" t="s">
        <v>34</v>
      </c>
    </row>
    <row r="9" spans="1:12" ht="90" x14ac:dyDescent="0.25">
      <c r="A9" s="57">
        <v>5</v>
      </c>
      <c r="B9" s="58" t="s">
        <v>13</v>
      </c>
      <c r="C9" s="59" t="s">
        <v>14</v>
      </c>
      <c r="D9" s="59" t="s">
        <v>96</v>
      </c>
      <c r="E9" s="59" t="s">
        <v>92</v>
      </c>
      <c r="F9" s="60" t="s">
        <v>47</v>
      </c>
      <c r="G9" s="59">
        <v>4</v>
      </c>
      <c r="H9" s="59">
        <f>G9*2</f>
        <v>8</v>
      </c>
      <c r="I9" s="59" t="s">
        <v>136</v>
      </c>
      <c r="J9" s="44"/>
      <c r="K9" s="59">
        <f>J9*2</f>
        <v>0</v>
      </c>
      <c r="L9" s="61" t="s">
        <v>62</v>
      </c>
    </row>
    <row r="10" spans="1:12" ht="210" x14ac:dyDescent="0.25">
      <c r="A10" s="57">
        <v>6</v>
      </c>
      <c r="B10" s="62" t="s">
        <v>18</v>
      </c>
      <c r="C10" s="59" t="s">
        <v>14</v>
      </c>
      <c r="D10" s="59" t="s">
        <v>96</v>
      </c>
      <c r="E10" s="59" t="s">
        <v>97</v>
      </c>
      <c r="F10" s="60" t="s">
        <v>122</v>
      </c>
      <c r="G10" s="59">
        <v>4</v>
      </c>
      <c r="H10" s="59">
        <f>G10*1.5</f>
        <v>6</v>
      </c>
      <c r="I10" s="59" t="s">
        <v>173</v>
      </c>
      <c r="J10" s="44"/>
      <c r="K10" s="59">
        <f>J10*1.5</f>
        <v>0</v>
      </c>
      <c r="L10" s="61"/>
    </row>
    <row r="11" spans="1:12" ht="96" x14ac:dyDescent="0.25">
      <c r="A11" s="57">
        <v>7</v>
      </c>
      <c r="B11" s="63" t="s">
        <v>21</v>
      </c>
      <c r="C11" s="59" t="s">
        <v>14</v>
      </c>
      <c r="D11" s="59" t="s">
        <v>96</v>
      </c>
      <c r="E11" s="59" t="s">
        <v>98</v>
      </c>
      <c r="F11" s="60" t="s">
        <v>87</v>
      </c>
      <c r="G11" s="59">
        <v>4</v>
      </c>
      <c r="H11" s="59">
        <f>G11</f>
        <v>4</v>
      </c>
      <c r="I11" s="59" t="s">
        <v>137</v>
      </c>
      <c r="J11" s="44"/>
      <c r="K11" s="59">
        <f>J11</f>
        <v>0</v>
      </c>
      <c r="L11" s="61" t="s">
        <v>86</v>
      </c>
    </row>
    <row r="12" spans="1:12" ht="150" x14ac:dyDescent="0.25">
      <c r="A12" s="57">
        <v>8</v>
      </c>
      <c r="B12" s="58" t="s">
        <v>13</v>
      </c>
      <c r="C12" s="59" t="s">
        <v>14</v>
      </c>
      <c r="D12" s="59" t="s">
        <v>100</v>
      </c>
      <c r="E12" s="59" t="s">
        <v>101</v>
      </c>
      <c r="F12" s="60" t="s">
        <v>88</v>
      </c>
      <c r="G12" s="59">
        <v>4</v>
      </c>
      <c r="H12" s="59">
        <f>G12*2</f>
        <v>8</v>
      </c>
      <c r="I12" s="59" t="s">
        <v>138</v>
      </c>
      <c r="J12" s="44"/>
      <c r="K12" s="59">
        <f>J12*2</f>
        <v>0</v>
      </c>
      <c r="L12" s="61" t="s">
        <v>63</v>
      </c>
    </row>
    <row r="13" spans="1:12" ht="120" x14ac:dyDescent="0.25">
      <c r="A13" s="57">
        <v>9</v>
      </c>
      <c r="B13" s="63" t="s">
        <v>21</v>
      </c>
      <c r="C13" s="59" t="s">
        <v>14</v>
      </c>
      <c r="D13" s="59" t="s">
        <v>100</v>
      </c>
      <c r="E13" s="59" t="s">
        <v>104</v>
      </c>
      <c r="F13" s="60" t="s">
        <v>89</v>
      </c>
      <c r="G13" s="59">
        <v>4</v>
      </c>
      <c r="H13" s="59">
        <f>G13</f>
        <v>4</v>
      </c>
      <c r="I13" s="59" t="s">
        <v>139</v>
      </c>
      <c r="J13" s="44"/>
      <c r="K13" s="59">
        <f>J13</f>
        <v>0</v>
      </c>
      <c r="L13" s="61"/>
    </row>
    <row r="14" spans="1:12" ht="165" x14ac:dyDescent="0.25">
      <c r="A14" s="57">
        <v>10</v>
      </c>
      <c r="B14" s="62" t="s">
        <v>18</v>
      </c>
      <c r="C14" s="59" t="s">
        <v>14</v>
      </c>
      <c r="D14" s="59" t="s">
        <v>100</v>
      </c>
      <c r="E14" s="59" t="s">
        <v>102</v>
      </c>
      <c r="F14" s="60" t="s">
        <v>90</v>
      </c>
      <c r="G14" s="59">
        <v>4</v>
      </c>
      <c r="H14" s="59">
        <f>G14*1.5</f>
        <v>6</v>
      </c>
      <c r="I14" s="59" t="s">
        <v>140</v>
      </c>
      <c r="J14" s="44"/>
      <c r="K14" s="59">
        <f>J14*1.5</f>
        <v>0</v>
      </c>
      <c r="L14" s="61" t="s">
        <v>67</v>
      </c>
    </row>
    <row r="15" spans="1:12" ht="90" x14ac:dyDescent="0.25">
      <c r="A15" s="57">
        <v>11</v>
      </c>
      <c r="B15" s="63" t="s">
        <v>21</v>
      </c>
      <c r="C15" s="59" t="s">
        <v>14</v>
      </c>
      <c r="D15" s="59" t="s">
        <v>100</v>
      </c>
      <c r="E15" s="59" t="s">
        <v>103</v>
      </c>
      <c r="F15" s="60" t="s">
        <v>123</v>
      </c>
      <c r="G15" s="59">
        <v>4</v>
      </c>
      <c r="H15" s="59">
        <f>G15</f>
        <v>4</v>
      </c>
      <c r="I15" s="59" t="s">
        <v>141</v>
      </c>
      <c r="J15" s="44"/>
      <c r="K15" s="59">
        <f>J15</f>
        <v>0</v>
      </c>
      <c r="L15" s="61" t="s">
        <v>78</v>
      </c>
    </row>
    <row r="16" spans="1:12" ht="72" x14ac:dyDescent="0.25">
      <c r="A16" s="57">
        <v>12</v>
      </c>
      <c r="B16" s="58" t="s">
        <v>13</v>
      </c>
      <c r="C16" s="59" t="s">
        <v>14</v>
      </c>
      <c r="D16" s="59" t="s">
        <v>106</v>
      </c>
      <c r="E16" s="59" t="s">
        <v>105</v>
      </c>
      <c r="F16" s="60" t="s">
        <v>49</v>
      </c>
      <c r="G16" s="59">
        <v>4</v>
      </c>
      <c r="H16" s="59">
        <f>G16*2</f>
        <v>8</v>
      </c>
      <c r="I16" s="59" t="s">
        <v>142</v>
      </c>
      <c r="J16" s="44"/>
      <c r="K16" s="59">
        <f>J16*2</f>
        <v>0</v>
      </c>
      <c r="L16" s="61" t="s">
        <v>64</v>
      </c>
    </row>
    <row r="17" spans="1:12" ht="84" customHeight="1" x14ac:dyDescent="0.25">
      <c r="A17" s="57">
        <v>13</v>
      </c>
      <c r="B17" s="58" t="s">
        <v>13</v>
      </c>
      <c r="C17" s="64" t="s">
        <v>14</v>
      </c>
      <c r="D17" s="59" t="s">
        <v>106</v>
      </c>
      <c r="E17" s="64" t="s">
        <v>107</v>
      </c>
      <c r="F17" s="65" t="s">
        <v>77</v>
      </c>
      <c r="G17" s="64">
        <v>4</v>
      </c>
      <c r="H17" s="64">
        <f>G17*2</f>
        <v>8</v>
      </c>
      <c r="I17" s="64" t="s">
        <v>143</v>
      </c>
      <c r="J17" s="44"/>
      <c r="K17" s="64">
        <f>J17*2</f>
        <v>0</v>
      </c>
      <c r="L17" s="66" t="s">
        <v>65</v>
      </c>
    </row>
    <row r="18" spans="1:12" ht="45" x14ac:dyDescent="0.25">
      <c r="A18" s="57">
        <v>14</v>
      </c>
      <c r="B18" s="62" t="s">
        <v>18</v>
      </c>
      <c r="C18" s="59" t="s">
        <v>14</v>
      </c>
      <c r="D18" s="59" t="s">
        <v>106</v>
      </c>
      <c r="E18" s="59" t="s">
        <v>108</v>
      </c>
      <c r="F18" s="60" t="s">
        <v>50</v>
      </c>
      <c r="G18" s="59">
        <v>4</v>
      </c>
      <c r="H18" s="59">
        <f>G18*1.5</f>
        <v>6</v>
      </c>
      <c r="I18" s="59" t="s">
        <v>144</v>
      </c>
      <c r="J18" s="44"/>
      <c r="K18" s="59">
        <f>J18*1.5</f>
        <v>0</v>
      </c>
      <c r="L18" s="61"/>
    </row>
    <row r="19" spans="1:12" ht="120" x14ac:dyDescent="0.25">
      <c r="A19" s="57">
        <v>15</v>
      </c>
      <c r="B19" s="62" t="s">
        <v>18</v>
      </c>
      <c r="C19" s="59" t="s">
        <v>14</v>
      </c>
      <c r="D19" s="59" t="s">
        <v>106</v>
      </c>
      <c r="E19" s="59" t="s">
        <v>109</v>
      </c>
      <c r="F19" s="60" t="s">
        <v>124</v>
      </c>
      <c r="G19" s="59">
        <v>4</v>
      </c>
      <c r="H19" s="59">
        <f>G19*1.5</f>
        <v>6</v>
      </c>
      <c r="I19" s="59" t="s">
        <v>191</v>
      </c>
      <c r="J19" s="44"/>
      <c r="K19" s="59">
        <f>J19*1.5</f>
        <v>0</v>
      </c>
      <c r="L19" s="61" t="s">
        <v>73</v>
      </c>
    </row>
    <row r="20" spans="1:12" ht="135" x14ac:dyDescent="0.25">
      <c r="A20" s="57">
        <v>16</v>
      </c>
      <c r="B20" s="63" t="s">
        <v>21</v>
      </c>
      <c r="C20" s="59" t="s">
        <v>14</v>
      </c>
      <c r="D20" s="59" t="s">
        <v>106</v>
      </c>
      <c r="E20" s="59" t="s">
        <v>110</v>
      </c>
      <c r="F20" s="60" t="s">
        <v>125</v>
      </c>
      <c r="G20" s="59">
        <v>4</v>
      </c>
      <c r="H20" s="59">
        <f>G20</f>
        <v>4</v>
      </c>
      <c r="I20" s="59" t="s">
        <v>174</v>
      </c>
      <c r="J20" s="44"/>
      <c r="K20" s="59">
        <f>J20</f>
        <v>0</v>
      </c>
      <c r="L20" s="61" t="s">
        <v>69</v>
      </c>
    </row>
    <row r="21" spans="1:12" ht="120" x14ac:dyDescent="0.25">
      <c r="A21" s="57">
        <v>17</v>
      </c>
      <c r="B21" s="63" t="s">
        <v>21</v>
      </c>
      <c r="C21" s="59" t="s">
        <v>14</v>
      </c>
      <c r="D21" s="59" t="s">
        <v>106</v>
      </c>
      <c r="E21" s="59" t="s">
        <v>111</v>
      </c>
      <c r="F21" s="60" t="s">
        <v>126</v>
      </c>
      <c r="G21" s="59">
        <v>4</v>
      </c>
      <c r="H21" s="59">
        <f>G21</f>
        <v>4</v>
      </c>
      <c r="I21" s="59" t="s">
        <v>145</v>
      </c>
      <c r="J21" s="44"/>
      <c r="K21" s="59">
        <f>J21</f>
        <v>0</v>
      </c>
      <c r="L21" s="61" t="s">
        <v>68</v>
      </c>
    </row>
    <row r="22" spans="1:12" ht="134.25" customHeight="1" x14ac:dyDescent="0.25">
      <c r="A22" s="57">
        <v>18</v>
      </c>
      <c r="B22" s="62" t="s">
        <v>18</v>
      </c>
      <c r="C22" s="59" t="s">
        <v>14</v>
      </c>
      <c r="D22" s="59" t="s">
        <v>112</v>
      </c>
      <c r="E22" s="59" t="s">
        <v>127</v>
      </c>
      <c r="F22" s="60" t="s">
        <v>192</v>
      </c>
      <c r="G22" s="59">
        <v>4</v>
      </c>
      <c r="H22" s="59">
        <f>G22*1.5</f>
        <v>6</v>
      </c>
      <c r="I22" s="64" t="s">
        <v>193</v>
      </c>
      <c r="J22" s="44"/>
      <c r="K22" s="59">
        <f>J22*1.5</f>
        <v>0</v>
      </c>
      <c r="L22" s="61" t="s">
        <v>134</v>
      </c>
    </row>
    <row r="23" spans="1:12" ht="150" x14ac:dyDescent="0.25">
      <c r="A23" s="57">
        <v>19</v>
      </c>
      <c r="B23" s="58" t="s">
        <v>13</v>
      </c>
      <c r="C23" s="59" t="s">
        <v>14</v>
      </c>
      <c r="D23" s="59" t="s">
        <v>112</v>
      </c>
      <c r="E23" s="59" t="s">
        <v>128</v>
      </c>
      <c r="F23" s="60" t="s">
        <v>129</v>
      </c>
      <c r="G23" s="59">
        <v>4</v>
      </c>
      <c r="H23" s="59">
        <f>G23*2</f>
        <v>8</v>
      </c>
      <c r="I23" s="59" t="s">
        <v>175</v>
      </c>
      <c r="J23" s="44"/>
      <c r="K23" s="59">
        <f>J23*2</f>
        <v>0</v>
      </c>
      <c r="L23" s="61"/>
    </row>
    <row r="24" spans="1:12" ht="45" x14ac:dyDescent="0.25">
      <c r="A24" s="57">
        <v>20</v>
      </c>
      <c r="B24" s="63" t="s">
        <v>21</v>
      </c>
      <c r="C24" s="59" t="s">
        <v>14</v>
      </c>
      <c r="D24" s="59" t="s">
        <v>112</v>
      </c>
      <c r="E24" s="59" t="s">
        <v>130</v>
      </c>
      <c r="F24" s="60" t="s">
        <v>131</v>
      </c>
      <c r="G24" s="59">
        <v>4</v>
      </c>
      <c r="H24" s="59">
        <f>G24</f>
        <v>4</v>
      </c>
      <c r="I24" s="59" t="s">
        <v>146</v>
      </c>
      <c r="J24" s="44"/>
      <c r="K24" s="59">
        <f>J24</f>
        <v>0</v>
      </c>
      <c r="L24" s="61"/>
    </row>
    <row r="25" spans="1:12" ht="165" x14ac:dyDescent="0.25">
      <c r="A25" s="57">
        <v>21</v>
      </c>
      <c r="B25" s="62" t="s">
        <v>18</v>
      </c>
      <c r="C25" s="59" t="s">
        <v>14</v>
      </c>
      <c r="D25" s="59" t="s">
        <v>112</v>
      </c>
      <c r="E25" s="59" t="s">
        <v>132</v>
      </c>
      <c r="F25" s="60" t="s">
        <v>176</v>
      </c>
      <c r="G25" s="59">
        <v>4</v>
      </c>
      <c r="H25" s="59">
        <f>G25*1.5</f>
        <v>6</v>
      </c>
      <c r="I25" s="59" t="s">
        <v>177</v>
      </c>
      <c r="J25" s="44"/>
      <c r="K25" s="59">
        <f>J25*1.5</f>
        <v>0</v>
      </c>
      <c r="L25" s="61" t="s">
        <v>133</v>
      </c>
    </row>
    <row r="26" spans="1:12" ht="21" x14ac:dyDescent="0.35">
      <c r="A26" s="67"/>
      <c r="B26" s="67"/>
      <c r="C26" s="68"/>
      <c r="D26" s="69"/>
      <c r="E26" s="69"/>
      <c r="F26" s="70"/>
      <c r="G26" s="71">
        <f>SUM(G5:G25)</f>
        <v>84</v>
      </c>
      <c r="H26" s="71">
        <f>SUM(H5:H25)</f>
        <v>122</v>
      </c>
      <c r="I26" s="72"/>
      <c r="J26" s="73">
        <f>SUM(J5:J25)</f>
        <v>0</v>
      </c>
      <c r="K26" s="71">
        <f>SUM(K5:K25)</f>
        <v>0</v>
      </c>
      <c r="L26" s="69"/>
    </row>
    <row r="27" spans="1:12" ht="33" x14ac:dyDescent="0.35">
      <c r="A27" s="67"/>
      <c r="B27" s="67"/>
      <c r="C27" s="68"/>
      <c r="D27" s="69"/>
      <c r="E27" s="69"/>
      <c r="F27" s="70"/>
      <c r="G27" s="74" t="s">
        <v>170</v>
      </c>
      <c r="H27" s="74" t="s">
        <v>171</v>
      </c>
      <c r="I27" s="72"/>
      <c r="J27" s="74" t="s">
        <v>172</v>
      </c>
      <c r="K27" s="74" t="s">
        <v>178</v>
      </c>
      <c r="L27" s="69"/>
    </row>
  </sheetData>
  <sheetProtection sheet="1" selectLockedCells="1"/>
  <autoFilter ref="A4:L4">
    <sortState ref="A5:J26">
      <sortCondition ref="A4"/>
    </sortState>
  </autoFilter>
  <mergeCells count="3">
    <mergeCell ref="D1:L1"/>
    <mergeCell ref="A2:B2"/>
    <mergeCell ref="A3:B3"/>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I21"/>
  <sheetViews>
    <sheetView zoomScale="90" zoomScaleNormal="90" workbookViewId="0">
      <selection activeCell="D20" sqref="D20:E20"/>
    </sheetView>
  </sheetViews>
  <sheetFormatPr defaultRowHeight="15" x14ac:dyDescent="0.25"/>
  <cols>
    <col min="2" max="4" width="20.7109375" customWidth="1"/>
    <col min="5" max="5" width="30.7109375" customWidth="1"/>
    <col min="6" max="6" width="20.7109375" customWidth="1"/>
    <col min="7" max="7" width="30.7109375" customWidth="1"/>
    <col min="8" max="8" width="20.7109375" customWidth="1"/>
    <col min="9" max="9" width="60.7109375" customWidth="1"/>
  </cols>
  <sheetData>
    <row r="1" spans="1:9" ht="78.75" customHeight="1" x14ac:dyDescent="0.25">
      <c r="A1" s="14"/>
      <c r="B1" s="15"/>
      <c r="C1" s="15"/>
      <c r="D1" s="40" t="s">
        <v>54</v>
      </c>
      <c r="E1" s="40"/>
      <c r="F1" s="40"/>
      <c r="G1" s="40"/>
      <c r="H1" s="40"/>
      <c r="I1" s="41"/>
    </row>
    <row r="2" spans="1:9" x14ac:dyDescent="0.25">
      <c r="A2" s="28" t="s">
        <v>45</v>
      </c>
      <c r="B2" s="29"/>
      <c r="C2" s="19">
        <f>'Final Scoring'!$C$2</f>
        <v>0</v>
      </c>
      <c r="D2" s="16"/>
      <c r="E2" s="16"/>
      <c r="F2" s="16"/>
      <c r="G2" s="16"/>
      <c r="H2" s="16"/>
      <c r="I2" s="17"/>
    </row>
    <row r="3" spans="1:9" x14ac:dyDescent="0.25">
      <c r="A3" s="28" t="s">
        <v>39</v>
      </c>
      <c r="B3" s="29"/>
      <c r="C3" s="19">
        <f>'Final Scoring'!$C$3</f>
        <v>0</v>
      </c>
      <c r="D3" s="16"/>
      <c r="E3" s="16"/>
      <c r="F3" s="16"/>
      <c r="G3" s="16"/>
      <c r="H3" s="16"/>
      <c r="I3" s="17"/>
    </row>
    <row r="4" spans="1:9" x14ac:dyDescent="0.25">
      <c r="A4" s="18" t="s">
        <v>0</v>
      </c>
      <c r="B4" s="42" t="s">
        <v>3</v>
      </c>
      <c r="C4" s="42"/>
      <c r="D4" s="42" t="s">
        <v>4</v>
      </c>
      <c r="E4" s="42"/>
      <c r="F4" s="21" t="s">
        <v>53</v>
      </c>
      <c r="G4" s="42" t="s">
        <v>7</v>
      </c>
      <c r="H4" s="42"/>
      <c r="I4" s="43"/>
    </row>
    <row r="5" spans="1:9" ht="50.25" customHeight="1" x14ac:dyDescent="0.25">
      <c r="A5" s="6">
        <v>1</v>
      </c>
      <c r="B5" s="20" t="s">
        <v>14</v>
      </c>
      <c r="C5" s="20" t="s">
        <v>15</v>
      </c>
      <c r="D5" s="32" t="s">
        <v>46</v>
      </c>
      <c r="E5" s="32"/>
      <c r="F5" s="20"/>
      <c r="G5" s="33" t="s">
        <v>61</v>
      </c>
      <c r="H5" s="34"/>
      <c r="I5" s="35"/>
    </row>
    <row r="6" spans="1:9" ht="48" customHeight="1" x14ac:dyDescent="0.25">
      <c r="A6" s="6">
        <v>2</v>
      </c>
      <c r="B6" s="20" t="s">
        <v>14</v>
      </c>
      <c r="C6" s="20" t="s">
        <v>29</v>
      </c>
      <c r="D6" s="32" t="s">
        <v>47</v>
      </c>
      <c r="E6" s="32"/>
      <c r="F6" s="20"/>
      <c r="G6" s="33" t="s">
        <v>62</v>
      </c>
      <c r="H6" s="34"/>
      <c r="I6" s="35"/>
    </row>
    <row r="7" spans="1:9" ht="58.5" customHeight="1" x14ac:dyDescent="0.25">
      <c r="A7" s="6">
        <v>3</v>
      </c>
      <c r="B7" s="20" t="s">
        <v>14</v>
      </c>
      <c r="C7" s="20" t="s">
        <v>16</v>
      </c>
      <c r="D7" s="32" t="s">
        <v>48</v>
      </c>
      <c r="E7" s="32"/>
      <c r="F7" s="20"/>
      <c r="G7" s="33" t="s">
        <v>63</v>
      </c>
      <c r="H7" s="34"/>
      <c r="I7" s="35"/>
    </row>
    <row r="8" spans="1:9" ht="50.25" customHeight="1" x14ac:dyDescent="0.25">
      <c r="A8" s="6">
        <v>4</v>
      </c>
      <c r="B8" s="20" t="s">
        <v>14</v>
      </c>
      <c r="C8" s="20" t="s">
        <v>17</v>
      </c>
      <c r="D8" s="32" t="s">
        <v>49</v>
      </c>
      <c r="E8" s="32"/>
      <c r="F8" s="20"/>
      <c r="G8" s="33" t="s">
        <v>64</v>
      </c>
      <c r="H8" s="34"/>
      <c r="I8" s="35"/>
    </row>
    <row r="9" spans="1:9" ht="74.25" customHeight="1" x14ac:dyDescent="0.25">
      <c r="A9" s="6">
        <v>5</v>
      </c>
      <c r="B9" s="22" t="s">
        <v>14</v>
      </c>
      <c r="C9" s="22" t="s">
        <v>57</v>
      </c>
      <c r="D9" s="36" t="s">
        <v>77</v>
      </c>
      <c r="E9" s="36"/>
      <c r="F9" s="20"/>
      <c r="G9" s="37" t="s">
        <v>65</v>
      </c>
      <c r="H9" s="38"/>
      <c r="I9" s="39"/>
    </row>
    <row r="10" spans="1:9" ht="64.5" customHeight="1" x14ac:dyDescent="0.25">
      <c r="A10" s="6">
        <v>6</v>
      </c>
      <c r="B10" s="20" t="s">
        <v>14</v>
      </c>
      <c r="C10" s="20" t="s">
        <v>19</v>
      </c>
      <c r="D10" s="32" t="s">
        <v>85</v>
      </c>
      <c r="E10" s="32"/>
      <c r="F10" s="20"/>
      <c r="G10" s="33" t="s">
        <v>66</v>
      </c>
      <c r="H10" s="34"/>
      <c r="I10" s="35"/>
    </row>
    <row r="11" spans="1:9" ht="63" customHeight="1" x14ac:dyDescent="0.25">
      <c r="A11" s="6">
        <v>7</v>
      </c>
      <c r="B11" s="20" t="s">
        <v>14</v>
      </c>
      <c r="C11" s="20" t="s">
        <v>30</v>
      </c>
      <c r="D11" s="32" t="s">
        <v>84</v>
      </c>
      <c r="E11" s="32"/>
      <c r="F11" s="20"/>
      <c r="G11" s="33"/>
      <c r="H11" s="34"/>
      <c r="I11" s="35"/>
    </row>
    <row r="12" spans="1:9" ht="60.75" customHeight="1" x14ac:dyDescent="0.25">
      <c r="A12" s="6">
        <v>8</v>
      </c>
      <c r="B12" s="20" t="s">
        <v>14</v>
      </c>
      <c r="C12" s="20" t="s">
        <v>20</v>
      </c>
      <c r="D12" s="32" t="s">
        <v>52</v>
      </c>
      <c r="E12" s="32"/>
      <c r="F12" s="20"/>
      <c r="G12" s="33" t="s">
        <v>67</v>
      </c>
      <c r="H12" s="34"/>
      <c r="I12" s="35"/>
    </row>
    <row r="13" spans="1:9" ht="30" customHeight="1" x14ac:dyDescent="0.25">
      <c r="A13" s="6">
        <v>9</v>
      </c>
      <c r="B13" s="20" t="s">
        <v>14</v>
      </c>
      <c r="C13" s="20" t="s">
        <v>31</v>
      </c>
      <c r="D13" s="32" t="s">
        <v>50</v>
      </c>
      <c r="E13" s="32"/>
      <c r="F13" s="20"/>
      <c r="G13" s="33"/>
      <c r="H13" s="34"/>
      <c r="I13" s="35"/>
    </row>
    <row r="14" spans="1:9" ht="51.75" customHeight="1" x14ac:dyDescent="0.25">
      <c r="A14" s="6">
        <v>10</v>
      </c>
      <c r="B14" s="20" t="s">
        <v>14</v>
      </c>
      <c r="C14" s="20" t="s">
        <v>32</v>
      </c>
      <c r="D14" s="32" t="s">
        <v>83</v>
      </c>
      <c r="E14" s="32"/>
      <c r="F14" s="20"/>
      <c r="G14" s="33" t="s">
        <v>73</v>
      </c>
      <c r="H14" s="34"/>
      <c r="I14" s="35"/>
    </row>
    <row r="15" spans="1:9" ht="33" customHeight="1" x14ac:dyDescent="0.25">
      <c r="A15" s="6">
        <v>11</v>
      </c>
      <c r="B15" s="20" t="s">
        <v>14</v>
      </c>
      <c r="C15" s="20" t="s">
        <v>33</v>
      </c>
      <c r="D15" s="32" t="s">
        <v>82</v>
      </c>
      <c r="E15" s="32"/>
      <c r="F15" s="20"/>
      <c r="G15" s="33" t="s">
        <v>34</v>
      </c>
      <c r="H15" s="34"/>
      <c r="I15" s="35"/>
    </row>
    <row r="16" spans="1:9" ht="60.75" customHeight="1" x14ac:dyDescent="0.25">
      <c r="A16" s="6">
        <v>12</v>
      </c>
      <c r="B16" s="20" t="s">
        <v>14</v>
      </c>
      <c r="C16" s="20" t="s">
        <v>35</v>
      </c>
      <c r="D16" s="32" t="s">
        <v>22</v>
      </c>
      <c r="E16" s="32"/>
      <c r="F16" s="20"/>
      <c r="G16" s="33" t="s">
        <v>86</v>
      </c>
      <c r="H16" s="34"/>
      <c r="I16" s="35"/>
    </row>
    <row r="17" spans="1:9" ht="52.5" customHeight="1" x14ac:dyDescent="0.25">
      <c r="A17" s="6">
        <v>13</v>
      </c>
      <c r="B17" s="20" t="s">
        <v>14</v>
      </c>
      <c r="C17" s="20" t="s">
        <v>23</v>
      </c>
      <c r="D17" s="32" t="s">
        <v>81</v>
      </c>
      <c r="E17" s="32"/>
      <c r="F17" s="20"/>
      <c r="G17" s="33" t="s">
        <v>78</v>
      </c>
      <c r="H17" s="34"/>
      <c r="I17" s="35"/>
    </row>
    <row r="18" spans="1:9" ht="31.5" customHeight="1" x14ac:dyDescent="0.25">
      <c r="A18" s="6">
        <v>14</v>
      </c>
      <c r="B18" s="20" t="s">
        <v>14</v>
      </c>
      <c r="C18" s="20" t="s">
        <v>24</v>
      </c>
      <c r="D18" s="32" t="s">
        <v>80</v>
      </c>
      <c r="E18" s="32"/>
      <c r="F18" s="20"/>
      <c r="G18" s="33"/>
      <c r="H18" s="34"/>
      <c r="I18" s="35"/>
    </row>
    <row r="19" spans="1:9" ht="54" customHeight="1" x14ac:dyDescent="0.25">
      <c r="A19" s="6">
        <v>15</v>
      </c>
      <c r="B19" s="20" t="s">
        <v>14</v>
      </c>
      <c r="C19" s="20" t="s">
        <v>25</v>
      </c>
      <c r="D19" s="32" t="s">
        <v>79</v>
      </c>
      <c r="E19" s="32"/>
      <c r="F19" s="20"/>
      <c r="G19" s="33" t="s">
        <v>69</v>
      </c>
      <c r="H19" s="34"/>
      <c r="I19" s="35"/>
    </row>
    <row r="20" spans="1:9" ht="49.5" customHeight="1" x14ac:dyDescent="0.25">
      <c r="A20" s="6">
        <v>16</v>
      </c>
      <c r="B20" s="20" t="s">
        <v>14</v>
      </c>
      <c r="C20" s="20" t="s">
        <v>36</v>
      </c>
      <c r="D20" s="32" t="s">
        <v>51</v>
      </c>
      <c r="E20" s="32"/>
      <c r="F20" s="20"/>
      <c r="G20" s="33" t="s">
        <v>68</v>
      </c>
      <c r="H20" s="34"/>
      <c r="I20" s="35"/>
    </row>
    <row r="21" spans="1:9" ht="21" x14ac:dyDescent="0.35">
      <c r="A21" s="3"/>
      <c r="B21" s="3"/>
      <c r="C21" s="2"/>
      <c r="D21" s="1"/>
      <c r="E21" s="4"/>
      <c r="F21" s="5"/>
      <c r="G21" s="4"/>
      <c r="H21" s="5"/>
      <c r="I21" s="1"/>
    </row>
  </sheetData>
  <mergeCells count="38">
    <mergeCell ref="D1:I1"/>
    <mergeCell ref="A2:B2"/>
    <mergeCell ref="A3:B3"/>
    <mergeCell ref="B4:C4"/>
    <mergeCell ref="D4:E4"/>
    <mergeCell ref="G4:I4"/>
    <mergeCell ref="D5:E5"/>
    <mergeCell ref="G5:I5"/>
    <mergeCell ref="D6:E6"/>
    <mergeCell ref="G6:I6"/>
    <mergeCell ref="D7:E7"/>
    <mergeCell ref="G7:I7"/>
    <mergeCell ref="D8:E8"/>
    <mergeCell ref="G8:I8"/>
    <mergeCell ref="D9:E9"/>
    <mergeCell ref="G9:I9"/>
    <mergeCell ref="D10:E10"/>
    <mergeCell ref="G10:I10"/>
    <mergeCell ref="D11:E11"/>
    <mergeCell ref="G11:I11"/>
    <mergeCell ref="D12:E12"/>
    <mergeCell ref="G12:I12"/>
    <mergeCell ref="D13:E13"/>
    <mergeCell ref="G13:I13"/>
    <mergeCell ref="D14:E14"/>
    <mergeCell ref="G14:I14"/>
    <mergeCell ref="D15:E15"/>
    <mergeCell ref="G15:I15"/>
    <mergeCell ref="D16:E16"/>
    <mergeCell ref="G16:I16"/>
    <mergeCell ref="D20:E20"/>
    <mergeCell ref="G20:I20"/>
    <mergeCell ref="D17:E17"/>
    <mergeCell ref="G17:I17"/>
    <mergeCell ref="D18:E18"/>
    <mergeCell ref="G18:I18"/>
    <mergeCell ref="D19:E19"/>
    <mergeCell ref="G19:I1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I21"/>
  <sheetViews>
    <sheetView zoomScale="90" zoomScaleNormal="90" workbookViewId="0">
      <selection activeCell="D20" sqref="D20:E20"/>
    </sheetView>
  </sheetViews>
  <sheetFormatPr defaultRowHeight="15" x14ac:dyDescent="0.25"/>
  <cols>
    <col min="2" max="4" width="20.7109375" customWidth="1"/>
    <col min="5" max="5" width="30.7109375" customWidth="1"/>
    <col min="6" max="6" width="20.7109375" customWidth="1"/>
    <col min="7" max="7" width="30.7109375" customWidth="1"/>
    <col min="8" max="8" width="20.7109375" customWidth="1"/>
    <col min="9" max="9" width="60.7109375" customWidth="1"/>
  </cols>
  <sheetData>
    <row r="1" spans="1:9" ht="78.75" customHeight="1" x14ac:dyDescent="0.25">
      <c r="A1" s="14"/>
      <c r="B1" s="15"/>
      <c r="C1" s="15"/>
      <c r="D1" s="40" t="s">
        <v>54</v>
      </c>
      <c r="E1" s="40"/>
      <c r="F1" s="40"/>
      <c r="G1" s="40"/>
      <c r="H1" s="40"/>
      <c r="I1" s="41"/>
    </row>
    <row r="2" spans="1:9" x14ac:dyDescent="0.25">
      <c r="A2" s="28" t="s">
        <v>45</v>
      </c>
      <c r="B2" s="29"/>
      <c r="C2" s="19">
        <f>'Final Scoring'!$C$2</f>
        <v>0</v>
      </c>
      <c r="D2" s="16"/>
      <c r="E2" s="16"/>
      <c r="F2" s="16"/>
      <c r="G2" s="16"/>
      <c r="H2" s="16"/>
      <c r="I2" s="17"/>
    </row>
    <row r="3" spans="1:9" x14ac:dyDescent="0.25">
      <c r="A3" s="28" t="s">
        <v>39</v>
      </c>
      <c r="B3" s="29"/>
      <c r="C3" s="19">
        <f>'Final Scoring'!$C$3</f>
        <v>0</v>
      </c>
      <c r="D3" s="16"/>
      <c r="E3" s="16"/>
      <c r="F3" s="16"/>
      <c r="G3" s="16"/>
      <c r="H3" s="16"/>
      <c r="I3" s="17"/>
    </row>
    <row r="4" spans="1:9" x14ac:dyDescent="0.25">
      <c r="A4" s="18" t="s">
        <v>0</v>
      </c>
      <c r="B4" s="42" t="s">
        <v>3</v>
      </c>
      <c r="C4" s="42"/>
      <c r="D4" s="42" t="s">
        <v>4</v>
      </c>
      <c r="E4" s="42"/>
      <c r="F4" s="21" t="s">
        <v>53</v>
      </c>
      <c r="G4" s="42" t="s">
        <v>7</v>
      </c>
      <c r="H4" s="42"/>
      <c r="I4" s="43"/>
    </row>
    <row r="5" spans="1:9" ht="50.25" customHeight="1" x14ac:dyDescent="0.25">
      <c r="A5" s="6">
        <v>1</v>
      </c>
      <c r="B5" s="20" t="s">
        <v>14</v>
      </c>
      <c r="C5" s="20" t="s">
        <v>15</v>
      </c>
      <c r="D5" s="32" t="s">
        <v>46</v>
      </c>
      <c r="E5" s="32"/>
      <c r="F5" s="20"/>
      <c r="G5" s="33" t="s">
        <v>61</v>
      </c>
      <c r="H5" s="34"/>
      <c r="I5" s="35"/>
    </row>
    <row r="6" spans="1:9" ht="48" customHeight="1" x14ac:dyDescent="0.25">
      <c r="A6" s="6">
        <v>2</v>
      </c>
      <c r="B6" s="20" t="s">
        <v>14</v>
      </c>
      <c r="C6" s="20" t="s">
        <v>29</v>
      </c>
      <c r="D6" s="32" t="s">
        <v>47</v>
      </c>
      <c r="E6" s="32"/>
      <c r="F6" s="20"/>
      <c r="G6" s="33" t="s">
        <v>62</v>
      </c>
      <c r="H6" s="34"/>
      <c r="I6" s="35"/>
    </row>
    <row r="7" spans="1:9" ht="58.5" customHeight="1" x14ac:dyDescent="0.25">
      <c r="A7" s="6">
        <v>3</v>
      </c>
      <c r="B7" s="20" t="s">
        <v>14</v>
      </c>
      <c r="C7" s="20" t="s">
        <v>16</v>
      </c>
      <c r="D7" s="32" t="s">
        <v>48</v>
      </c>
      <c r="E7" s="32"/>
      <c r="F7" s="20"/>
      <c r="G7" s="33" t="s">
        <v>63</v>
      </c>
      <c r="H7" s="34"/>
      <c r="I7" s="35"/>
    </row>
    <row r="8" spans="1:9" ht="50.25" customHeight="1" x14ac:dyDescent="0.25">
      <c r="A8" s="6">
        <v>4</v>
      </c>
      <c r="B8" s="20" t="s">
        <v>14</v>
      </c>
      <c r="C8" s="20" t="s">
        <v>17</v>
      </c>
      <c r="D8" s="32" t="s">
        <v>49</v>
      </c>
      <c r="E8" s="32"/>
      <c r="F8" s="20"/>
      <c r="G8" s="33" t="s">
        <v>64</v>
      </c>
      <c r="H8" s="34"/>
      <c r="I8" s="35"/>
    </row>
    <row r="9" spans="1:9" ht="74.25" customHeight="1" x14ac:dyDescent="0.25">
      <c r="A9" s="6">
        <v>5</v>
      </c>
      <c r="B9" s="22" t="s">
        <v>14</v>
      </c>
      <c r="C9" s="22" t="s">
        <v>57</v>
      </c>
      <c r="D9" s="36" t="s">
        <v>77</v>
      </c>
      <c r="E9" s="36"/>
      <c r="F9" s="20"/>
      <c r="G9" s="37" t="s">
        <v>65</v>
      </c>
      <c r="H9" s="38"/>
      <c r="I9" s="39"/>
    </row>
    <row r="10" spans="1:9" ht="64.5" customHeight="1" x14ac:dyDescent="0.25">
      <c r="A10" s="6">
        <v>6</v>
      </c>
      <c r="B10" s="20" t="s">
        <v>14</v>
      </c>
      <c r="C10" s="20" t="s">
        <v>19</v>
      </c>
      <c r="D10" s="32" t="s">
        <v>85</v>
      </c>
      <c r="E10" s="32"/>
      <c r="F10" s="20"/>
      <c r="G10" s="33" t="s">
        <v>66</v>
      </c>
      <c r="H10" s="34"/>
      <c r="I10" s="35"/>
    </row>
    <row r="11" spans="1:9" ht="63" customHeight="1" x14ac:dyDescent="0.25">
      <c r="A11" s="6">
        <v>7</v>
      </c>
      <c r="B11" s="20" t="s">
        <v>14</v>
      </c>
      <c r="C11" s="20" t="s">
        <v>30</v>
      </c>
      <c r="D11" s="32" t="s">
        <v>84</v>
      </c>
      <c r="E11" s="32"/>
      <c r="F11" s="20"/>
      <c r="G11" s="33"/>
      <c r="H11" s="34"/>
      <c r="I11" s="35"/>
    </row>
    <row r="12" spans="1:9" ht="60.75" customHeight="1" x14ac:dyDescent="0.25">
      <c r="A12" s="6">
        <v>8</v>
      </c>
      <c r="B12" s="20" t="s">
        <v>14</v>
      </c>
      <c r="C12" s="20" t="s">
        <v>20</v>
      </c>
      <c r="D12" s="32" t="s">
        <v>52</v>
      </c>
      <c r="E12" s="32"/>
      <c r="F12" s="20"/>
      <c r="G12" s="33" t="s">
        <v>67</v>
      </c>
      <c r="H12" s="34"/>
      <c r="I12" s="35"/>
    </row>
    <row r="13" spans="1:9" ht="30" customHeight="1" x14ac:dyDescent="0.25">
      <c r="A13" s="6">
        <v>9</v>
      </c>
      <c r="B13" s="20" t="s">
        <v>14</v>
      </c>
      <c r="C13" s="20" t="s">
        <v>31</v>
      </c>
      <c r="D13" s="32" t="s">
        <v>50</v>
      </c>
      <c r="E13" s="32"/>
      <c r="F13" s="20"/>
      <c r="G13" s="33"/>
      <c r="H13" s="34"/>
      <c r="I13" s="35"/>
    </row>
    <row r="14" spans="1:9" ht="51.75" customHeight="1" x14ac:dyDescent="0.25">
      <c r="A14" s="6">
        <v>10</v>
      </c>
      <c r="B14" s="20" t="s">
        <v>14</v>
      </c>
      <c r="C14" s="20" t="s">
        <v>32</v>
      </c>
      <c r="D14" s="32" t="s">
        <v>83</v>
      </c>
      <c r="E14" s="32"/>
      <c r="F14" s="20"/>
      <c r="G14" s="33" t="s">
        <v>73</v>
      </c>
      <c r="H14" s="34"/>
      <c r="I14" s="35"/>
    </row>
    <row r="15" spans="1:9" ht="33" customHeight="1" x14ac:dyDescent="0.25">
      <c r="A15" s="6">
        <v>11</v>
      </c>
      <c r="B15" s="20" t="s">
        <v>14</v>
      </c>
      <c r="C15" s="20" t="s">
        <v>33</v>
      </c>
      <c r="D15" s="32" t="s">
        <v>82</v>
      </c>
      <c r="E15" s="32"/>
      <c r="F15" s="20"/>
      <c r="G15" s="33" t="s">
        <v>34</v>
      </c>
      <c r="H15" s="34"/>
      <c r="I15" s="35"/>
    </row>
    <row r="16" spans="1:9" ht="61.5" customHeight="1" x14ac:dyDescent="0.25">
      <c r="A16" s="6">
        <v>12</v>
      </c>
      <c r="B16" s="20" t="s">
        <v>14</v>
      </c>
      <c r="C16" s="20" t="s">
        <v>35</v>
      </c>
      <c r="D16" s="32" t="s">
        <v>22</v>
      </c>
      <c r="E16" s="32"/>
      <c r="F16" s="20"/>
      <c r="G16" s="33" t="s">
        <v>86</v>
      </c>
      <c r="H16" s="34"/>
      <c r="I16" s="35"/>
    </row>
    <row r="17" spans="1:9" ht="52.5" customHeight="1" x14ac:dyDescent="0.25">
      <c r="A17" s="6">
        <v>13</v>
      </c>
      <c r="B17" s="20" t="s">
        <v>14</v>
      </c>
      <c r="C17" s="20" t="s">
        <v>23</v>
      </c>
      <c r="D17" s="32" t="s">
        <v>81</v>
      </c>
      <c r="E17" s="32"/>
      <c r="F17" s="20"/>
      <c r="G17" s="33" t="s">
        <v>78</v>
      </c>
      <c r="H17" s="34"/>
      <c r="I17" s="35"/>
    </row>
    <row r="18" spans="1:9" ht="31.5" customHeight="1" x14ac:dyDescent="0.25">
      <c r="A18" s="6">
        <v>14</v>
      </c>
      <c r="B18" s="20" t="s">
        <v>14</v>
      </c>
      <c r="C18" s="20" t="s">
        <v>24</v>
      </c>
      <c r="D18" s="32" t="s">
        <v>80</v>
      </c>
      <c r="E18" s="32"/>
      <c r="F18" s="20"/>
      <c r="G18" s="33"/>
      <c r="H18" s="34"/>
      <c r="I18" s="35"/>
    </row>
    <row r="19" spans="1:9" ht="54" customHeight="1" x14ac:dyDescent="0.25">
      <c r="A19" s="6">
        <v>15</v>
      </c>
      <c r="B19" s="20" t="s">
        <v>14</v>
      </c>
      <c r="C19" s="20" t="s">
        <v>25</v>
      </c>
      <c r="D19" s="32" t="s">
        <v>79</v>
      </c>
      <c r="E19" s="32"/>
      <c r="F19" s="20"/>
      <c r="G19" s="33" t="s">
        <v>69</v>
      </c>
      <c r="H19" s="34"/>
      <c r="I19" s="35"/>
    </row>
    <row r="20" spans="1:9" ht="49.5" customHeight="1" x14ac:dyDescent="0.25">
      <c r="A20" s="6">
        <v>16</v>
      </c>
      <c r="B20" s="20" t="s">
        <v>14</v>
      </c>
      <c r="C20" s="20" t="s">
        <v>36</v>
      </c>
      <c r="D20" s="32" t="s">
        <v>51</v>
      </c>
      <c r="E20" s="32"/>
      <c r="F20" s="20"/>
      <c r="G20" s="33" t="s">
        <v>68</v>
      </c>
      <c r="H20" s="34"/>
      <c r="I20" s="35"/>
    </row>
    <row r="21" spans="1:9" ht="21" x14ac:dyDescent="0.35">
      <c r="A21" s="3"/>
      <c r="B21" s="3"/>
      <c r="C21" s="2"/>
      <c r="D21" s="1"/>
      <c r="E21" s="4"/>
      <c r="F21" s="5"/>
      <c r="G21" s="4"/>
      <c r="H21" s="5"/>
      <c r="I21" s="1"/>
    </row>
  </sheetData>
  <mergeCells count="38">
    <mergeCell ref="D1:I1"/>
    <mergeCell ref="A2:B2"/>
    <mergeCell ref="A3:B3"/>
    <mergeCell ref="B4:C4"/>
    <mergeCell ref="D4:E4"/>
    <mergeCell ref="G4:I4"/>
    <mergeCell ref="D5:E5"/>
    <mergeCell ref="G5:I5"/>
    <mergeCell ref="D6:E6"/>
    <mergeCell ref="G6:I6"/>
    <mergeCell ref="D7:E7"/>
    <mergeCell ref="G7:I7"/>
    <mergeCell ref="D8:E8"/>
    <mergeCell ref="G8:I8"/>
    <mergeCell ref="D9:E9"/>
    <mergeCell ref="G9:I9"/>
    <mergeCell ref="D10:E10"/>
    <mergeCell ref="G10:I10"/>
    <mergeCell ref="D11:E11"/>
    <mergeCell ref="G11:I11"/>
    <mergeCell ref="D12:E12"/>
    <mergeCell ref="G12:I12"/>
    <mergeCell ref="D13:E13"/>
    <mergeCell ref="G13:I13"/>
    <mergeCell ref="D14:E14"/>
    <mergeCell ref="G14:I14"/>
    <mergeCell ref="D15:E15"/>
    <mergeCell ref="G15:I15"/>
    <mergeCell ref="D16:E16"/>
    <mergeCell ref="G16:I16"/>
    <mergeCell ref="D20:E20"/>
    <mergeCell ref="G20:I20"/>
    <mergeCell ref="D17:E17"/>
    <mergeCell ref="G17:I17"/>
    <mergeCell ref="D18:E18"/>
    <mergeCell ref="G18:I18"/>
    <mergeCell ref="D19:E19"/>
    <mergeCell ref="G19:I19"/>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I21"/>
  <sheetViews>
    <sheetView zoomScale="90" zoomScaleNormal="90" workbookViewId="0">
      <selection activeCell="D20" sqref="D20:E20"/>
    </sheetView>
  </sheetViews>
  <sheetFormatPr defaultRowHeight="15" x14ac:dyDescent="0.25"/>
  <cols>
    <col min="2" max="4" width="20.7109375" customWidth="1"/>
    <col min="5" max="5" width="30.7109375" customWidth="1"/>
    <col min="6" max="6" width="20.7109375" customWidth="1"/>
    <col min="7" max="7" width="30.7109375" customWidth="1"/>
    <col min="8" max="8" width="20.7109375" customWidth="1"/>
    <col min="9" max="9" width="60.7109375" customWidth="1"/>
  </cols>
  <sheetData>
    <row r="1" spans="1:9" ht="78.75" customHeight="1" x14ac:dyDescent="0.25">
      <c r="A1" s="14"/>
      <c r="B1" s="15"/>
      <c r="C1" s="15"/>
      <c r="D1" s="40" t="s">
        <v>54</v>
      </c>
      <c r="E1" s="40"/>
      <c r="F1" s="40"/>
      <c r="G1" s="40"/>
      <c r="H1" s="40"/>
      <c r="I1" s="41"/>
    </row>
    <row r="2" spans="1:9" x14ac:dyDescent="0.25">
      <c r="A2" s="28" t="s">
        <v>45</v>
      </c>
      <c r="B2" s="29"/>
      <c r="C2" s="19">
        <f>'Final Scoring'!$C$2</f>
        <v>0</v>
      </c>
      <c r="D2" s="16"/>
      <c r="E2" s="16"/>
      <c r="F2" s="16"/>
      <c r="G2" s="16"/>
      <c r="H2" s="16"/>
      <c r="I2" s="17"/>
    </row>
    <row r="3" spans="1:9" x14ac:dyDescent="0.25">
      <c r="A3" s="28" t="s">
        <v>39</v>
      </c>
      <c r="B3" s="29"/>
      <c r="C3" s="19">
        <f>'Final Scoring'!$C$3</f>
        <v>0</v>
      </c>
      <c r="D3" s="16"/>
      <c r="E3" s="16"/>
      <c r="F3" s="16"/>
      <c r="G3" s="16"/>
      <c r="H3" s="16"/>
      <c r="I3" s="17"/>
    </row>
    <row r="4" spans="1:9" x14ac:dyDescent="0.25">
      <c r="A4" s="18" t="s">
        <v>0</v>
      </c>
      <c r="B4" s="42" t="s">
        <v>3</v>
      </c>
      <c r="C4" s="42"/>
      <c r="D4" s="42" t="s">
        <v>4</v>
      </c>
      <c r="E4" s="42"/>
      <c r="F4" s="21" t="s">
        <v>53</v>
      </c>
      <c r="G4" s="42" t="s">
        <v>7</v>
      </c>
      <c r="H4" s="42"/>
      <c r="I4" s="43"/>
    </row>
    <row r="5" spans="1:9" ht="50.25" customHeight="1" x14ac:dyDescent="0.25">
      <c r="A5" s="6">
        <v>1</v>
      </c>
      <c r="B5" s="20" t="s">
        <v>14</v>
      </c>
      <c r="C5" s="20" t="s">
        <v>15</v>
      </c>
      <c r="D5" s="32" t="s">
        <v>46</v>
      </c>
      <c r="E5" s="32"/>
      <c r="F5" s="20"/>
      <c r="G5" s="33" t="s">
        <v>61</v>
      </c>
      <c r="H5" s="34"/>
      <c r="I5" s="35"/>
    </row>
    <row r="6" spans="1:9" ht="48" customHeight="1" x14ac:dyDescent="0.25">
      <c r="A6" s="6">
        <v>2</v>
      </c>
      <c r="B6" s="20" t="s">
        <v>14</v>
      </c>
      <c r="C6" s="20" t="s">
        <v>29</v>
      </c>
      <c r="D6" s="32" t="s">
        <v>47</v>
      </c>
      <c r="E6" s="32"/>
      <c r="F6" s="20"/>
      <c r="G6" s="33" t="s">
        <v>62</v>
      </c>
      <c r="H6" s="34"/>
      <c r="I6" s="35"/>
    </row>
    <row r="7" spans="1:9" ht="58.5" customHeight="1" x14ac:dyDescent="0.25">
      <c r="A7" s="6">
        <v>3</v>
      </c>
      <c r="B7" s="20" t="s">
        <v>14</v>
      </c>
      <c r="C7" s="20" t="s">
        <v>16</v>
      </c>
      <c r="D7" s="32" t="s">
        <v>48</v>
      </c>
      <c r="E7" s="32"/>
      <c r="F7" s="20"/>
      <c r="G7" s="33" t="s">
        <v>63</v>
      </c>
      <c r="H7" s="34"/>
      <c r="I7" s="35"/>
    </row>
    <row r="8" spans="1:9" ht="50.25" customHeight="1" x14ac:dyDescent="0.25">
      <c r="A8" s="6">
        <v>4</v>
      </c>
      <c r="B8" s="20" t="s">
        <v>14</v>
      </c>
      <c r="C8" s="20" t="s">
        <v>17</v>
      </c>
      <c r="D8" s="32" t="s">
        <v>49</v>
      </c>
      <c r="E8" s="32"/>
      <c r="F8" s="20"/>
      <c r="G8" s="33" t="s">
        <v>64</v>
      </c>
      <c r="H8" s="34"/>
      <c r="I8" s="35"/>
    </row>
    <row r="9" spans="1:9" ht="74.25" customHeight="1" x14ac:dyDescent="0.25">
      <c r="A9" s="6">
        <v>5</v>
      </c>
      <c r="B9" s="22" t="s">
        <v>14</v>
      </c>
      <c r="C9" s="22" t="s">
        <v>57</v>
      </c>
      <c r="D9" s="36" t="s">
        <v>77</v>
      </c>
      <c r="E9" s="36"/>
      <c r="F9" s="20"/>
      <c r="G9" s="37" t="s">
        <v>65</v>
      </c>
      <c r="H9" s="38"/>
      <c r="I9" s="39"/>
    </row>
    <row r="10" spans="1:9" ht="64.5" customHeight="1" x14ac:dyDescent="0.25">
      <c r="A10" s="6">
        <v>6</v>
      </c>
      <c r="B10" s="20" t="s">
        <v>14</v>
      </c>
      <c r="C10" s="20" t="s">
        <v>19</v>
      </c>
      <c r="D10" s="32" t="s">
        <v>85</v>
      </c>
      <c r="E10" s="32"/>
      <c r="F10" s="20"/>
      <c r="G10" s="33" t="s">
        <v>66</v>
      </c>
      <c r="H10" s="34"/>
      <c r="I10" s="35"/>
    </row>
    <row r="11" spans="1:9" ht="63" customHeight="1" x14ac:dyDescent="0.25">
      <c r="A11" s="6">
        <v>7</v>
      </c>
      <c r="B11" s="20" t="s">
        <v>14</v>
      </c>
      <c r="C11" s="20" t="s">
        <v>30</v>
      </c>
      <c r="D11" s="32" t="s">
        <v>84</v>
      </c>
      <c r="E11" s="32"/>
      <c r="F11" s="20"/>
      <c r="G11" s="33"/>
      <c r="H11" s="34"/>
      <c r="I11" s="35"/>
    </row>
    <row r="12" spans="1:9" ht="60.75" customHeight="1" x14ac:dyDescent="0.25">
      <c r="A12" s="6">
        <v>8</v>
      </c>
      <c r="B12" s="20" t="s">
        <v>14</v>
      </c>
      <c r="C12" s="20" t="s">
        <v>20</v>
      </c>
      <c r="D12" s="32" t="s">
        <v>52</v>
      </c>
      <c r="E12" s="32"/>
      <c r="F12" s="20"/>
      <c r="G12" s="33" t="s">
        <v>67</v>
      </c>
      <c r="H12" s="34"/>
      <c r="I12" s="35"/>
    </row>
    <row r="13" spans="1:9" ht="30" customHeight="1" x14ac:dyDescent="0.25">
      <c r="A13" s="6">
        <v>9</v>
      </c>
      <c r="B13" s="20" t="s">
        <v>14</v>
      </c>
      <c r="C13" s="20" t="s">
        <v>31</v>
      </c>
      <c r="D13" s="32" t="s">
        <v>50</v>
      </c>
      <c r="E13" s="32"/>
      <c r="F13" s="20"/>
      <c r="G13" s="33"/>
      <c r="H13" s="34"/>
      <c r="I13" s="35"/>
    </row>
    <row r="14" spans="1:9" ht="51.75" customHeight="1" x14ac:dyDescent="0.25">
      <c r="A14" s="6">
        <v>10</v>
      </c>
      <c r="B14" s="20" t="s">
        <v>14</v>
      </c>
      <c r="C14" s="20" t="s">
        <v>32</v>
      </c>
      <c r="D14" s="32" t="s">
        <v>83</v>
      </c>
      <c r="E14" s="32"/>
      <c r="F14" s="20"/>
      <c r="G14" s="33" t="s">
        <v>73</v>
      </c>
      <c r="H14" s="34"/>
      <c r="I14" s="35"/>
    </row>
    <row r="15" spans="1:9" ht="33" customHeight="1" x14ac:dyDescent="0.25">
      <c r="A15" s="6">
        <v>11</v>
      </c>
      <c r="B15" s="20" t="s">
        <v>14</v>
      </c>
      <c r="C15" s="20" t="s">
        <v>33</v>
      </c>
      <c r="D15" s="32" t="s">
        <v>82</v>
      </c>
      <c r="E15" s="32"/>
      <c r="F15" s="20"/>
      <c r="G15" s="33" t="s">
        <v>34</v>
      </c>
      <c r="H15" s="34"/>
      <c r="I15" s="35"/>
    </row>
    <row r="16" spans="1:9" ht="64.5" customHeight="1" x14ac:dyDescent="0.25">
      <c r="A16" s="6">
        <v>12</v>
      </c>
      <c r="B16" s="20" t="s">
        <v>14</v>
      </c>
      <c r="C16" s="20" t="s">
        <v>35</v>
      </c>
      <c r="D16" s="32" t="s">
        <v>22</v>
      </c>
      <c r="E16" s="32"/>
      <c r="F16" s="20"/>
      <c r="G16" s="33" t="s">
        <v>86</v>
      </c>
      <c r="H16" s="34"/>
      <c r="I16" s="35"/>
    </row>
    <row r="17" spans="1:9" ht="52.5" customHeight="1" x14ac:dyDescent="0.25">
      <c r="A17" s="6">
        <v>13</v>
      </c>
      <c r="B17" s="20" t="s">
        <v>14</v>
      </c>
      <c r="C17" s="20" t="s">
        <v>23</v>
      </c>
      <c r="D17" s="32" t="s">
        <v>81</v>
      </c>
      <c r="E17" s="32"/>
      <c r="F17" s="20"/>
      <c r="G17" s="33" t="s">
        <v>78</v>
      </c>
      <c r="H17" s="34"/>
      <c r="I17" s="35"/>
    </row>
    <row r="18" spans="1:9" ht="31.5" customHeight="1" x14ac:dyDescent="0.25">
      <c r="A18" s="6">
        <v>14</v>
      </c>
      <c r="B18" s="20" t="s">
        <v>14</v>
      </c>
      <c r="C18" s="20" t="s">
        <v>24</v>
      </c>
      <c r="D18" s="32" t="s">
        <v>80</v>
      </c>
      <c r="E18" s="32"/>
      <c r="F18" s="20"/>
      <c r="G18" s="33"/>
      <c r="H18" s="34"/>
      <c r="I18" s="35"/>
    </row>
    <row r="19" spans="1:9" ht="54" customHeight="1" x14ac:dyDescent="0.25">
      <c r="A19" s="6">
        <v>15</v>
      </c>
      <c r="B19" s="20" t="s">
        <v>14</v>
      </c>
      <c r="C19" s="20" t="s">
        <v>25</v>
      </c>
      <c r="D19" s="32" t="s">
        <v>79</v>
      </c>
      <c r="E19" s="32"/>
      <c r="F19" s="20"/>
      <c r="G19" s="33" t="s">
        <v>69</v>
      </c>
      <c r="H19" s="34"/>
      <c r="I19" s="35"/>
    </row>
    <row r="20" spans="1:9" ht="49.5" customHeight="1" x14ac:dyDescent="0.25">
      <c r="A20" s="6">
        <v>16</v>
      </c>
      <c r="B20" s="20" t="s">
        <v>14</v>
      </c>
      <c r="C20" s="20" t="s">
        <v>36</v>
      </c>
      <c r="D20" s="32" t="s">
        <v>51</v>
      </c>
      <c r="E20" s="32"/>
      <c r="F20" s="20"/>
      <c r="G20" s="33" t="s">
        <v>68</v>
      </c>
      <c r="H20" s="34"/>
      <c r="I20" s="35"/>
    </row>
    <row r="21" spans="1:9" ht="21" x14ac:dyDescent="0.35">
      <c r="A21" s="3"/>
      <c r="B21" s="3"/>
      <c r="C21" s="2"/>
      <c r="D21" s="1"/>
      <c r="E21" s="4"/>
      <c r="F21" s="5"/>
      <c r="G21" s="4"/>
      <c r="H21" s="5"/>
      <c r="I21" s="1"/>
    </row>
  </sheetData>
  <mergeCells count="38">
    <mergeCell ref="D1:I1"/>
    <mergeCell ref="A2:B2"/>
    <mergeCell ref="A3:B3"/>
    <mergeCell ref="B4:C4"/>
    <mergeCell ref="D4:E4"/>
    <mergeCell ref="G4:I4"/>
    <mergeCell ref="D5:E5"/>
    <mergeCell ref="G5:I5"/>
    <mergeCell ref="D6:E6"/>
    <mergeCell ref="G6:I6"/>
    <mergeCell ref="D7:E7"/>
    <mergeCell ref="G7:I7"/>
    <mergeCell ref="D8:E8"/>
    <mergeCell ref="G8:I8"/>
    <mergeCell ref="D9:E9"/>
    <mergeCell ref="G9:I9"/>
    <mergeCell ref="D10:E10"/>
    <mergeCell ref="G10:I10"/>
    <mergeCell ref="D11:E11"/>
    <mergeCell ref="G11:I11"/>
    <mergeCell ref="D12:E12"/>
    <mergeCell ref="G12:I12"/>
    <mergeCell ref="D13:E13"/>
    <mergeCell ref="G13:I13"/>
    <mergeCell ref="D14:E14"/>
    <mergeCell ref="G14:I14"/>
    <mergeCell ref="D15:E15"/>
    <mergeCell ref="G15:I15"/>
    <mergeCell ref="D16:E16"/>
    <mergeCell ref="G16:I16"/>
    <mergeCell ref="D20:E20"/>
    <mergeCell ref="G20:I20"/>
    <mergeCell ref="D17:E17"/>
    <mergeCell ref="G17:I17"/>
    <mergeCell ref="D18:E18"/>
    <mergeCell ref="G18:I18"/>
    <mergeCell ref="D19:E19"/>
    <mergeCell ref="G19:I1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I21"/>
  <sheetViews>
    <sheetView topLeftCell="A7" zoomScale="90" zoomScaleNormal="90" workbookViewId="0">
      <selection activeCell="D20" sqref="D20:E20"/>
    </sheetView>
  </sheetViews>
  <sheetFormatPr defaultRowHeight="15" x14ac:dyDescent="0.25"/>
  <cols>
    <col min="2" max="4" width="20.7109375" customWidth="1"/>
    <col min="5" max="5" width="30.7109375" customWidth="1"/>
    <col min="6" max="6" width="20.7109375" customWidth="1"/>
    <col min="7" max="7" width="30.7109375" customWidth="1"/>
    <col min="8" max="8" width="20.7109375" customWidth="1"/>
    <col min="9" max="9" width="60.7109375" customWidth="1"/>
  </cols>
  <sheetData>
    <row r="1" spans="1:9" ht="78.75" customHeight="1" x14ac:dyDescent="0.25">
      <c r="A1" s="14"/>
      <c r="B1" s="15"/>
      <c r="C1" s="15"/>
      <c r="D1" s="40" t="s">
        <v>54</v>
      </c>
      <c r="E1" s="40"/>
      <c r="F1" s="40"/>
      <c r="G1" s="40"/>
      <c r="H1" s="40"/>
      <c r="I1" s="41"/>
    </row>
    <row r="2" spans="1:9" x14ac:dyDescent="0.25">
      <c r="A2" s="28" t="s">
        <v>45</v>
      </c>
      <c r="B2" s="29"/>
      <c r="C2" s="19">
        <f>'Final Scoring'!$C$2</f>
        <v>0</v>
      </c>
      <c r="D2" s="16"/>
      <c r="E2" s="16"/>
      <c r="F2" s="16"/>
      <c r="G2" s="16"/>
      <c r="H2" s="16"/>
      <c r="I2" s="17"/>
    </row>
    <row r="3" spans="1:9" x14ac:dyDescent="0.25">
      <c r="A3" s="28" t="s">
        <v>39</v>
      </c>
      <c r="B3" s="29"/>
      <c r="C3" s="19">
        <f>'Final Scoring'!$C$3</f>
        <v>0</v>
      </c>
      <c r="D3" s="16"/>
      <c r="E3" s="16"/>
      <c r="F3" s="16"/>
      <c r="G3" s="16"/>
      <c r="H3" s="16"/>
      <c r="I3" s="17"/>
    </row>
    <row r="4" spans="1:9" x14ac:dyDescent="0.25">
      <c r="A4" s="18" t="s">
        <v>0</v>
      </c>
      <c r="B4" s="42" t="s">
        <v>3</v>
      </c>
      <c r="C4" s="42"/>
      <c r="D4" s="42" t="s">
        <v>4</v>
      </c>
      <c r="E4" s="42"/>
      <c r="F4" s="21" t="s">
        <v>53</v>
      </c>
      <c r="G4" s="42" t="s">
        <v>7</v>
      </c>
      <c r="H4" s="42"/>
      <c r="I4" s="43"/>
    </row>
    <row r="5" spans="1:9" ht="50.25" customHeight="1" x14ac:dyDescent="0.25">
      <c r="A5" s="6">
        <v>1</v>
      </c>
      <c r="B5" s="20" t="s">
        <v>14</v>
      </c>
      <c r="C5" s="20" t="s">
        <v>15</v>
      </c>
      <c r="D5" s="32" t="s">
        <v>46</v>
      </c>
      <c r="E5" s="32"/>
      <c r="F5" s="20"/>
      <c r="G5" s="33" t="s">
        <v>61</v>
      </c>
      <c r="H5" s="34"/>
      <c r="I5" s="35"/>
    </row>
    <row r="6" spans="1:9" ht="48" customHeight="1" x14ac:dyDescent="0.25">
      <c r="A6" s="6">
        <v>2</v>
      </c>
      <c r="B6" s="20" t="s">
        <v>14</v>
      </c>
      <c r="C6" s="20" t="s">
        <v>29</v>
      </c>
      <c r="D6" s="32" t="s">
        <v>47</v>
      </c>
      <c r="E6" s="32"/>
      <c r="F6" s="20"/>
      <c r="G6" s="33" t="s">
        <v>62</v>
      </c>
      <c r="H6" s="34"/>
      <c r="I6" s="35"/>
    </row>
    <row r="7" spans="1:9" ht="58.5" customHeight="1" x14ac:dyDescent="0.25">
      <c r="A7" s="6">
        <v>3</v>
      </c>
      <c r="B7" s="20" t="s">
        <v>14</v>
      </c>
      <c r="C7" s="20" t="s">
        <v>16</v>
      </c>
      <c r="D7" s="32" t="s">
        <v>48</v>
      </c>
      <c r="E7" s="32"/>
      <c r="F7" s="20"/>
      <c r="G7" s="33" t="s">
        <v>63</v>
      </c>
      <c r="H7" s="34"/>
      <c r="I7" s="35"/>
    </row>
    <row r="8" spans="1:9" ht="50.25" customHeight="1" x14ac:dyDescent="0.25">
      <c r="A8" s="6">
        <v>4</v>
      </c>
      <c r="B8" s="20" t="s">
        <v>14</v>
      </c>
      <c r="C8" s="20" t="s">
        <v>17</v>
      </c>
      <c r="D8" s="32" t="s">
        <v>49</v>
      </c>
      <c r="E8" s="32"/>
      <c r="F8" s="20"/>
      <c r="G8" s="33" t="s">
        <v>64</v>
      </c>
      <c r="H8" s="34"/>
      <c r="I8" s="35"/>
    </row>
    <row r="9" spans="1:9" ht="74.25" customHeight="1" x14ac:dyDescent="0.25">
      <c r="A9" s="6">
        <v>5</v>
      </c>
      <c r="B9" s="22" t="s">
        <v>14</v>
      </c>
      <c r="C9" s="22" t="s">
        <v>57</v>
      </c>
      <c r="D9" s="36" t="s">
        <v>77</v>
      </c>
      <c r="E9" s="36"/>
      <c r="F9" s="20"/>
      <c r="G9" s="37" t="s">
        <v>65</v>
      </c>
      <c r="H9" s="38"/>
      <c r="I9" s="39"/>
    </row>
    <row r="10" spans="1:9" ht="64.5" customHeight="1" x14ac:dyDescent="0.25">
      <c r="A10" s="6">
        <v>6</v>
      </c>
      <c r="B10" s="20" t="s">
        <v>14</v>
      </c>
      <c r="C10" s="20" t="s">
        <v>19</v>
      </c>
      <c r="D10" s="32" t="s">
        <v>85</v>
      </c>
      <c r="E10" s="32"/>
      <c r="F10" s="20"/>
      <c r="G10" s="33" t="s">
        <v>66</v>
      </c>
      <c r="H10" s="34"/>
      <c r="I10" s="35"/>
    </row>
    <row r="11" spans="1:9" ht="63" customHeight="1" x14ac:dyDescent="0.25">
      <c r="A11" s="6">
        <v>7</v>
      </c>
      <c r="B11" s="20" t="s">
        <v>14</v>
      </c>
      <c r="C11" s="20" t="s">
        <v>30</v>
      </c>
      <c r="D11" s="32" t="s">
        <v>84</v>
      </c>
      <c r="E11" s="32"/>
      <c r="F11" s="20"/>
      <c r="G11" s="33"/>
      <c r="H11" s="34"/>
      <c r="I11" s="35"/>
    </row>
    <row r="12" spans="1:9" ht="60.75" customHeight="1" x14ac:dyDescent="0.25">
      <c r="A12" s="6">
        <v>8</v>
      </c>
      <c r="B12" s="20" t="s">
        <v>14</v>
      </c>
      <c r="C12" s="20" t="s">
        <v>20</v>
      </c>
      <c r="D12" s="32" t="s">
        <v>52</v>
      </c>
      <c r="E12" s="32"/>
      <c r="F12" s="20"/>
      <c r="G12" s="33" t="s">
        <v>67</v>
      </c>
      <c r="H12" s="34"/>
      <c r="I12" s="35"/>
    </row>
    <row r="13" spans="1:9" ht="30" customHeight="1" x14ac:dyDescent="0.25">
      <c r="A13" s="6">
        <v>9</v>
      </c>
      <c r="B13" s="20" t="s">
        <v>14</v>
      </c>
      <c r="C13" s="20" t="s">
        <v>31</v>
      </c>
      <c r="D13" s="32" t="s">
        <v>50</v>
      </c>
      <c r="E13" s="32"/>
      <c r="F13" s="20"/>
      <c r="G13" s="33"/>
      <c r="H13" s="34"/>
      <c r="I13" s="35"/>
    </row>
    <row r="14" spans="1:9" ht="51.75" customHeight="1" x14ac:dyDescent="0.25">
      <c r="A14" s="6">
        <v>10</v>
      </c>
      <c r="B14" s="20" t="s">
        <v>14</v>
      </c>
      <c r="C14" s="20" t="s">
        <v>32</v>
      </c>
      <c r="D14" s="32" t="s">
        <v>83</v>
      </c>
      <c r="E14" s="32"/>
      <c r="F14" s="20"/>
      <c r="G14" s="33" t="s">
        <v>73</v>
      </c>
      <c r="H14" s="34"/>
      <c r="I14" s="35"/>
    </row>
    <row r="15" spans="1:9" ht="33" customHeight="1" x14ac:dyDescent="0.25">
      <c r="A15" s="6">
        <v>11</v>
      </c>
      <c r="B15" s="20" t="s">
        <v>14</v>
      </c>
      <c r="C15" s="20" t="s">
        <v>33</v>
      </c>
      <c r="D15" s="32" t="s">
        <v>82</v>
      </c>
      <c r="E15" s="32"/>
      <c r="F15" s="20"/>
      <c r="G15" s="33" t="s">
        <v>34</v>
      </c>
      <c r="H15" s="34"/>
      <c r="I15" s="35"/>
    </row>
    <row r="16" spans="1:9" ht="58.5" customHeight="1" x14ac:dyDescent="0.25">
      <c r="A16" s="6">
        <v>12</v>
      </c>
      <c r="B16" s="20" t="s">
        <v>14</v>
      </c>
      <c r="C16" s="20" t="s">
        <v>35</v>
      </c>
      <c r="D16" s="32" t="s">
        <v>22</v>
      </c>
      <c r="E16" s="32"/>
      <c r="F16" s="20"/>
      <c r="G16" s="33" t="s">
        <v>86</v>
      </c>
      <c r="H16" s="34"/>
      <c r="I16" s="35"/>
    </row>
    <row r="17" spans="1:9" ht="52.5" customHeight="1" x14ac:dyDescent="0.25">
      <c r="A17" s="6">
        <v>13</v>
      </c>
      <c r="B17" s="20" t="s">
        <v>14</v>
      </c>
      <c r="C17" s="20" t="s">
        <v>23</v>
      </c>
      <c r="D17" s="32" t="s">
        <v>81</v>
      </c>
      <c r="E17" s="32"/>
      <c r="F17" s="20"/>
      <c r="G17" s="33" t="s">
        <v>78</v>
      </c>
      <c r="H17" s="34"/>
      <c r="I17" s="35"/>
    </row>
    <row r="18" spans="1:9" ht="31.5" customHeight="1" x14ac:dyDescent="0.25">
      <c r="A18" s="6">
        <v>14</v>
      </c>
      <c r="B18" s="20" t="s">
        <v>14</v>
      </c>
      <c r="C18" s="20" t="s">
        <v>24</v>
      </c>
      <c r="D18" s="32" t="s">
        <v>80</v>
      </c>
      <c r="E18" s="32"/>
      <c r="F18" s="20"/>
      <c r="G18" s="33"/>
      <c r="H18" s="34"/>
      <c r="I18" s="35"/>
    </row>
    <row r="19" spans="1:9" ht="54" customHeight="1" x14ac:dyDescent="0.25">
      <c r="A19" s="6">
        <v>15</v>
      </c>
      <c r="B19" s="20" t="s">
        <v>14</v>
      </c>
      <c r="C19" s="20" t="s">
        <v>25</v>
      </c>
      <c r="D19" s="32" t="s">
        <v>79</v>
      </c>
      <c r="E19" s="32"/>
      <c r="F19" s="20"/>
      <c r="G19" s="33" t="s">
        <v>69</v>
      </c>
      <c r="H19" s="34"/>
      <c r="I19" s="35"/>
    </row>
    <row r="20" spans="1:9" ht="49.5" customHeight="1" x14ac:dyDescent="0.25">
      <c r="A20" s="6">
        <v>16</v>
      </c>
      <c r="B20" s="20" t="s">
        <v>14</v>
      </c>
      <c r="C20" s="20" t="s">
        <v>36</v>
      </c>
      <c r="D20" s="32" t="s">
        <v>51</v>
      </c>
      <c r="E20" s="32"/>
      <c r="F20" s="20"/>
      <c r="G20" s="33" t="s">
        <v>68</v>
      </c>
      <c r="H20" s="34"/>
      <c r="I20" s="35"/>
    </row>
    <row r="21" spans="1:9" ht="21" x14ac:dyDescent="0.35">
      <c r="A21" s="3"/>
      <c r="B21" s="3"/>
      <c r="C21" s="2"/>
      <c r="D21" s="1"/>
      <c r="E21" s="4"/>
      <c r="F21" s="5"/>
      <c r="G21" s="4"/>
      <c r="H21" s="5"/>
      <c r="I21" s="1"/>
    </row>
  </sheetData>
  <mergeCells count="38">
    <mergeCell ref="D1:I1"/>
    <mergeCell ref="A2:B2"/>
    <mergeCell ref="A3:B3"/>
    <mergeCell ref="B4:C4"/>
    <mergeCell ref="D4:E4"/>
    <mergeCell ref="G4:I4"/>
    <mergeCell ref="D5:E5"/>
    <mergeCell ref="G5:I5"/>
    <mergeCell ref="D6:E6"/>
    <mergeCell ref="G6:I6"/>
    <mergeCell ref="D7:E7"/>
    <mergeCell ref="G7:I7"/>
    <mergeCell ref="D8:E8"/>
    <mergeCell ref="G8:I8"/>
    <mergeCell ref="D9:E9"/>
    <mergeCell ref="G9:I9"/>
    <mergeCell ref="D10:E10"/>
    <mergeCell ref="G10:I10"/>
    <mergeCell ref="D11:E11"/>
    <mergeCell ref="G11:I11"/>
    <mergeCell ref="D12:E12"/>
    <mergeCell ref="G12:I12"/>
    <mergeCell ref="D13:E13"/>
    <mergeCell ref="G13:I13"/>
    <mergeCell ref="D14:E14"/>
    <mergeCell ref="G14:I14"/>
    <mergeCell ref="D15:E15"/>
    <mergeCell ref="G15:I15"/>
    <mergeCell ref="D16:E16"/>
    <mergeCell ref="G16:I16"/>
    <mergeCell ref="D20:E20"/>
    <mergeCell ref="G20:I20"/>
    <mergeCell ref="D17:E17"/>
    <mergeCell ref="G17:I17"/>
    <mergeCell ref="D18:E18"/>
    <mergeCell ref="G18:I18"/>
    <mergeCell ref="D19:E19"/>
    <mergeCell ref="G19:I1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I21"/>
  <sheetViews>
    <sheetView zoomScale="90" zoomScaleNormal="90" workbookViewId="0">
      <selection activeCell="D20" sqref="D20:E20"/>
    </sheetView>
  </sheetViews>
  <sheetFormatPr defaultRowHeight="15" x14ac:dyDescent="0.25"/>
  <cols>
    <col min="2" max="4" width="20.7109375" customWidth="1"/>
    <col min="5" max="5" width="30.7109375" customWidth="1"/>
    <col min="6" max="6" width="20.7109375" customWidth="1"/>
    <col min="7" max="7" width="30.7109375" customWidth="1"/>
    <col min="8" max="8" width="20.7109375" customWidth="1"/>
    <col min="9" max="9" width="60.7109375" customWidth="1"/>
  </cols>
  <sheetData>
    <row r="1" spans="1:9" ht="78.75" customHeight="1" x14ac:dyDescent="0.25">
      <c r="A1" s="14"/>
      <c r="B1" s="15"/>
      <c r="C1" s="15"/>
      <c r="D1" s="40" t="s">
        <v>54</v>
      </c>
      <c r="E1" s="40"/>
      <c r="F1" s="40"/>
      <c r="G1" s="40"/>
      <c r="H1" s="40"/>
      <c r="I1" s="41"/>
    </row>
    <row r="2" spans="1:9" x14ac:dyDescent="0.25">
      <c r="A2" s="28" t="s">
        <v>45</v>
      </c>
      <c r="B2" s="29"/>
      <c r="C2" s="19">
        <f>'Final Scoring'!$C$2</f>
        <v>0</v>
      </c>
      <c r="D2" s="16"/>
      <c r="E2" s="16"/>
      <c r="F2" s="16"/>
      <c r="G2" s="16"/>
      <c r="H2" s="16"/>
      <c r="I2" s="17"/>
    </row>
    <row r="3" spans="1:9" x14ac:dyDescent="0.25">
      <c r="A3" s="28" t="s">
        <v>39</v>
      </c>
      <c r="B3" s="29"/>
      <c r="C3" s="19">
        <f>'Final Scoring'!$C$3</f>
        <v>0</v>
      </c>
      <c r="D3" s="16"/>
      <c r="E3" s="16"/>
      <c r="F3" s="16"/>
      <c r="G3" s="16"/>
      <c r="H3" s="16"/>
      <c r="I3" s="17"/>
    </row>
    <row r="4" spans="1:9" x14ac:dyDescent="0.25">
      <c r="A4" s="18" t="s">
        <v>0</v>
      </c>
      <c r="B4" s="42" t="s">
        <v>3</v>
      </c>
      <c r="C4" s="42"/>
      <c r="D4" s="42" t="s">
        <v>4</v>
      </c>
      <c r="E4" s="42"/>
      <c r="F4" s="21" t="s">
        <v>53</v>
      </c>
      <c r="G4" s="42" t="s">
        <v>7</v>
      </c>
      <c r="H4" s="42"/>
      <c r="I4" s="43"/>
    </row>
    <row r="5" spans="1:9" ht="50.25" customHeight="1" x14ac:dyDescent="0.25">
      <c r="A5" s="6">
        <v>1</v>
      </c>
      <c r="B5" s="20" t="s">
        <v>14</v>
      </c>
      <c r="C5" s="20" t="s">
        <v>15</v>
      </c>
      <c r="D5" s="32" t="s">
        <v>46</v>
      </c>
      <c r="E5" s="32"/>
      <c r="F5" s="20"/>
      <c r="G5" s="33" t="s">
        <v>61</v>
      </c>
      <c r="H5" s="34"/>
      <c r="I5" s="35"/>
    </row>
    <row r="6" spans="1:9" ht="48" customHeight="1" x14ac:dyDescent="0.25">
      <c r="A6" s="6">
        <v>2</v>
      </c>
      <c r="B6" s="20" t="s">
        <v>14</v>
      </c>
      <c r="C6" s="20" t="s">
        <v>29</v>
      </c>
      <c r="D6" s="32" t="s">
        <v>47</v>
      </c>
      <c r="E6" s="32"/>
      <c r="F6" s="20"/>
      <c r="G6" s="33" t="s">
        <v>62</v>
      </c>
      <c r="H6" s="34"/>
      <c r="I6" s="35"/>
    </row>
    <row r="7" spans="1:9" ht="58.5" customHeight="1" x14ac:dyDescent="0.25">
      <c r="A7" s="6">
        <v>3</v>
      </c>
      <c r="B7" s="20" t="s">
        <v>14</v>
      </c>
      <c r="C7" s="20" t="s">
        <v>16</v>
      </c>
      <c r="D7" s="32" t="s">
        <v>48</v>
      </c>
      <c r="E7" s="32"/>
      <c r="F7" s="20"/>
      <c r="G7" s="33" t="s">
        <v>63</v>
      </c>
      <c r="H7" s="34"/>
      <c r="I7" s="35"/>
    </row>
    <row r="8" spans="1:9" ht="50.25" customHeight="1" x14ac:dyDescent="0.25">
      <c r="A8" s="6">
        <v>4</v>
      </c>
      <c r="B8" s="20" t="s">
        <v>14</v>
      </c>
      <c r="C8" s="20" t="s">
        <v>17</v>
      </c>
      <c r="D8" s="32" t="s">
        <v>49</v>
      </c>
      <c r="E8" s="32"/>
      <c r="F8" s="20"/>
      <c r="G8" s="33" t="s">
        <v>64</v>
      </c>
      <c r="H8" s="34"/>
      <c r="I8" s="35"/>
    </row>
    <row r="9" spans="1:9" ht="74.25" customHeight="1" x14ac:dyDescent="0.25">
      <c r="A9" s="6">
        <v>5</v>
      </c>
      <c r="B9" s="22" t="s">
        <v>14</v>
      </c>
      <c r="C9" s="22" t="s">
        <v>57</v>
      </c>
      <c r="D9" s="36" t="s">
        <v>77</v>
      </c>
      <c r="E9" s="36"/>
      <c r="F9" s="20"/>
      <c r="G9" s="37" t="s">
        <v>65</v>
      </c>
      <c r="H9" s="38"/>
      <c r="I9" s="39"/>
    </row>
    <row r="10" spans="1:9" ht="64.5" customHeight="1" x14ac:dyDescent="0.25">
      <c r="A10" s="6">
        <v>6</v>
      </c>
      <c r="B10" s="20" t="s">
        <v>14</v>
      </c>
      <c r="C10" s="20" t="s">
        <v>19</v>
      </c>
      <c r="D10" s="32" t="s">
        <v>85</v>
      </c>
      <c r="E10" s="32"/>
      <c r="F10" s="20"/>
      <c r="G10" s="33" t="s">
        <v>66</v>
      </c>
      <c r="H10" s="34"/>
      <c r="I10" s="35"/>
    </row>
    <row r="11" spans="1:9" ht="63" customHeight="1" x14ac:dyDescent="0.25">
      <c r="A11" s="6">
        <v>7</v>
      </c>
      <c r="B11" s="20" t="s">
        <v>14</v>
      </c>
      <c r="C11" s="20" t="s">
        <v>30</v>
      </c>
      <c r="D11" s="32" t="s">
        <v>84</v>
      </c>
      <c r="E11" s="32"/>
      <c r="F11" s="20"/>
      <c r="G11" s="33"/>
      <c r="H11" s="34"/>
      <c r="I11" s="35"/>
    </row>
    <row r="12" spans="1:9" ht="60.75" customHeight="1" x14ac:dyDescent="0.25">
      <c r="A12" s="6">
        <v>8</v>
      </c>
      <c r="B12" s="20" t="s">
        <v>14</v>
      </c>
      <c r="C12" s="20" t="s">
        <v>20</v>
      </c>
      <c r="D12" s="32" t="s">
        <v>52</v>
      </c>
      <c r="E12" s="32"/>
      <c r="F12" s="20"/>
      <c r="G12" s="33" t="s">
        <v>67</v>
      </c>
      <c r="H12" s="34"/>
      <c r="I12" s="35"/>
    </row>
    <row r="13" spans="1:9" ht="30" customHeight="1" x14ac:dyDescent="0.25">
      <c r="A13" s="6">
        <v>9</v>
      </c>
      <c r="B13" s="20" t="s">
        <v>14</v>
      </c>
      <c r="C13" s="20" t="s">
        <v>31</v>
      </c>
      <c r="D13" s="32" t="s">
        <v>50</v>
      </c>
      <c r="E13" s="32"/>
      <c r="F13" s="20"/>
      <c r="G13" s="33"/>
      <c r="H13" s="34"/>
      <c r="I13" s="35"/>
    </row>
    <row r="14" spans="1:9" ht="51.75" customHeight="1" x14ac:dyDescent="0.25">
      <c r="A14" s="6">
        <v>10</v>
      </c>
      <c r="B14" s="20" t="s">
        <v>14</v>
      </c>
      <c r="C14" s="20" t="s">
        <v>32</v>
      </c>
      <c r="D14" s="32" t="s">
        <v>83</v>
      </c>
      <c r="E14" s="32"/>
      <c r="F14" s="20"/>
      <c r="G14" s="33" t="s">
        <v>73</v>
      </c>
      <c r="H14" s="34"/>
      <c r="I14" s="35"/>
    </row>
    <row r="15" spans="1:9" ht="33" customHeight="1" x14ac:dyDescent="0.25">
      <c r="A15" s="6">
        <v>11</v>
      </c>
      <c r="B15" s="20" t="s">
        <v>14</v>
      </c>
      <c r="C15" s="20" t="s">
        <v>33</v>
      </c>
      <c r="D15" s="32" t="s">
        <v>82</v>
      </c>
      <c r="E15" s="32"/>
      <c r="F15" s="20"/>
      <c r="G15" s="33" t="s">
        <v>34</v>
      </c>
      <c r="H15" s="34"/>
      <c r="I15" s="35"/>
    </row>
    <row r="16" spans="1:9" ht="63" customHeight="1" x14ac:dyDescent="0.25">
      <c r="A16" s="6">
        <v>12</v>
      </c>
      <c r="B16" s="20" t="s">
        <v>14</v>
      </c>
      <c r="C16" s="20" t="s">
        <v>35</v>
      </c>
      <c r="D16" s="32" t="s">
        <v>22</v>
      </c>
      <c r="E16" s="32"/>
      <c r="F16" s="20"/>
      <c r="G16" s="33" t="s">
        <v>86</v>
      </c>
      <c r="H16" s="34"/>
      <c r="I16" s="35"/>
    </row>
    <row r="17" spans="1:9" ht="52.5" customHeight="1" x14ac:dyDescent="0.25">
      <c r="A17" s="6">
        <v>13</v>
      </c>
      <c r="B17" s="20" t="s">
        <v>14</v>
      </c>
      <c r="C17" s="20" t="s">
        <v>23</v>
      </c>
      <c r="D17" s="32" t="s">
        <v>81</v>
      </c>
      <c r="E17" s="32"/>
      <c r="F17" s="20"/>
      <c r="G17" s="33" t="s">
        <v>78</v>
      </c>
      <c r="H17" s="34"/>
      <c r="I17" s="35"/>
    </row>
    <row r="18" spans="1:9" ht="31.5" customHeight="1" x14ac:dyDescent="0.25">
      <c r="A18" s="6">
        <v>14</v>
      </c>
      <c r="B18" s="20" t="s">
        <v>14</v>
      </c>
      <c r="C18" s="20" t="s">
        <v>24</v>
      </c>
      <c r="D18" s="32" t="s">
        <v>80</v>
      </c>
      <c r="E18" s="32"/>
      <c r="F18" s="20"/>
      <c r="G18" s="33"/>
      <c r="H18" s="34"/>
      <c r="I18" s="35"/>
    </row>
    <row r="19" spans="1:9" ht="54" customHeight="1" x14ac:dyDescent="0.25">
      <c r="A19" s="6">
        <v>15</v>
      </c>
      <c r="B19" s="20" t="s">
        <v>14</v>
      </c>
      <c r="C19" s="20" t="s">
        <v>25</v>
      </c>
      <c r="D19" s="32" t="s">
        <v>79</v>
      </c>
      <c r="E19" s="32"/>
      <c r="F19" s="20"/>
      <c r="G19" s="33" t="s">
        <v>69</v>
      </c>
      <c r="H19" s="34"/>
      <c r="I19" s="35"/>
    </row>
    <row r="20" spans="1:9" ht="49.5" customHeight="1" x14ac:dyDescent="0.25">
      <c r="A20" s="6">
        <v>16</v>
      </c>
      <c r="B20" s="20" t="s">
        <v>14</v>
      </c>
      <c r="C20" s="20" t="s">
        <v>36</v>
      </c>
      <c r="D20" s="32" t="s">
        <v>51</v>
      </c>
      <c r="E20" s="32"/>
      <c r="F20" s="20"/>
      <c r="G20" s="33" t="s">
        <v>68</v>
      </c>
      <c r="H20" s="34"/>
      <c r="I20" s="35"/>
    </row>
    <row r="21" spans="1:9" ht="21" x14ac:dyDescent="0.35">
      <c r="A21" s="3"/>
      <c r="B21" s="3"/>
      <c r="C21" s="2"/>
      <c r="D21" s="1"/>
      <c r="E21" s="4"/>
      <c r="F21" s="5"/>
      <c r="G21" s="4"/>
      <c r="H21" s="5"/>
      <c r="I21" s="1"/>
    </row>
  </sheetData>
  <mergeCells count="38">
    <mergeCell ref="D1:I1"/>
    <mergeCell ref="A2:B2"/>
    <mergeCell ref="A3:B3"/>
    <mergeCell ref="B4:C4"/>
    <mergeCell ref="D4:E4"/>
    <mergeCell ref="G4:I4"/>
    <mergeCell ref="D5:E5"/>
    <mergeCell ref="G5:I5"/>
    <mergeCell ref="D6:E6"/>
    <mergeCell ref="G6:I6"/>
    <mergeCell ref="D7:E7"/>
    <mergeCell ref="G7:I7"/>
    <mergeCell ref="D8:E8"/>
    <mergeCell ref="G8:I8"/>
    <mergeCell ref="D9:E9"/>
    <mergeCell ref="G9:I9"/>
    <mergeCell ref="D10:E10"/>
    <mergeCell ref="G10:I10"/>
    <mergeCell ref="D11:E11"/>
    <mergeCell ref="G11:I11"/>
    <mergeCell ref="D12:E12"/>
    <mergeCell ref="G12:I12"/>
    <mergeCell ref="D13:E13"/>
    <mergeCell ref="G13:I13"/>
    <mergeCell ref="D14:E14"/>
    <mergeCell ref="G14:I14"/>
    <mergeCell ref="D15:E15"/>
    <mergeCell ref="G15:I15"/>
    <mergeCell ref="D16:E16"/>
    <mergeCell ref="G16:I16"/>
    <mergeCell ref="D20:E20"/>
    <mergeCell ref="G20:I20"/>
    <mergeCell ref="D17:E17"/>
    <mergeCell ref="G17:I17"/>
    <mergeCell ref="D18:E18"/>
    <mergeCell ref="G18:I18"/>
    <mergeCell ref="D19:E19"/>
    <mergeCell ref="G19:I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I21"/>
  <sheetViews>
    <sheetView zoomScale="90" zoomScaleNormal="90" workbookViewId="0">
      <selection activeCell="D20" sqref="D20:E20"/>
    </sheetView>
  </sheetViews>
  <sheetFormatPr defaultRowHeight="15" x14ac:dyDescent="0.25"/>
  <cols>
    <col min="2" max="4" width="20.7109375" customWidth="1"/>
    <col min="5" max="5" width="30.7109375" customWidth="1"/>
    <col min="6" max="6" width="20.7109375" customWidth="1"/>
    <col min="7" max="7" width="30.7109375" customWidth="1"/>
    <col min="8" max="8" width="20.7109375" customWidth="1"/>
    <col min="9" max="9" width="60.7109375" customWidth="1"/>
  </cols>
  <sheetData>
    <row r="1" spans="1:9" ht="78.75" customHeight="1" x14ac:dyDescent="0.25">
      <c r="A1" s="14"/>
      <c r="B1" s="15"/>
      <c r="C1" s="15"/>
      <c r="D1" s="40" t="s">
        <v>54</v>
      </c>
      <c r="E1" s="40"/>
      <c r="F1" s="40"/>
      <c r="G1" s="40"/>
      <c r="H1" s="40"/>
      <c r="I1" s="41"/>
    </row>
    <row r="2" spans="1:9" x14ac:dyDescent="0.25">
      <c r="A2" s="28" t="s">
        <v>45</v>
      </c>
      <c r="B2" s="29"/>
      <c r="C2" s="19">
        <f>'Final Scoring'!$C$2</f>
        <v>0</v>
      </c>
      <c r="D2" s="16"/>
      <c r="E2" s="16"/>
      <c r="F2" s="16"/>
      <c r="G2" s="16"/>
      <c r="H2" s="16"/>
      <c r="I2" s="17"/>
    </row>
    <row r="3" spans="1:9" x14ac:dyDescent="0.25">
      <c r="A3" s="28" t="s">
        <v>39</v>
      </c>
      <c r="B3" s="29"/>
      <c r="C3" s="19">
        <f>'Final Scoring'!$C$3</f>
        <v>0</v>
      </c>
      <c r="D3" s="16"/>
      <c r="E3" s="16"/>
      <c r="F3" s="16"/>
      <c r="G3" s="16"/>
      <c r="H3" s="16"/>
      <c r="I3" s="17"/>
    </row>
    <row r="4" spans="1:9" x14ac:dyDescent="0.25">
      <c r="A4" s="18" t="s">
        <v>0</v>
      </c>
      <c r="B4" s="42" t="s">
        <v>3</v>
      </c>
      <c r="C4" s="42"/>
      <c r="D4" s="42" t="s">
        <v>4</v>
      </c>
      <c r="E4" s="42"/>
      <c r="F4" s="21" t="s">
        <v>53</v>
      </c>
      <c r="G4" s="42" t="s">
        <v>7</v>
      </c>
      <c r="H4" s="42"/>
      <c r="I4" s="43"/>
    </row>
    <row r="5" spans="1:9" ht="50.25" customHeight="1" x14ac:dyDescent="0.25">
      <c r="A5" s="6">
        <v>1</v>
      </c>
      <c r="B5" s="20" t="s">
        <v>14</v>
      </c>
      <c r="C5" s="20" t="s">
        <v>15</v>
      </c>
      <c r="D5" s="32" t="s">
        <v>46</v>
      </c>
      <c r="E5" s="32"/>
      <c r="F5" s="20"/>
      <c r="G5" s="33" t="s">
        <v>61</v>
      </c>
      <c r="H5" s="34"/>
      <c r="I5" s="35"/>
    </row>
    <row r="6" spans="1:9" ht="48" customHeight="1" x14ac:dyDescent="0.25">
      <c r="A6" s="6">
        <v>2</v>
      </c>
      <c r="B6" s="20" t="s">
        <v>14</v>
      </c>
      <c r="C6" s="20" t="s">
        <v>29</v>
      </c>
      <c r="D6" s="32" t="s">
        <v>47</v>
      </c>
      <c r="E6" s="32"/>
      <c r="F6" s="20"/>
      <c r="G6" s="33" t="s">
        <v>62</v>
      </c>
      <c r="H6" s="34"/>
      <c r="I6" s="35"/>
    </row>
    <row r="7" spans="1:9" ht="58.5" customHeight="1" x14ac:dyDescent="0.25">
      <c r="A7" s="6">
        <v>3</v>
      </c>
      <c r="B7" s="20" t="s">
        <v>14</v>
      </c>
      <c r="C7" s="20" t="s">
        <v>16</v>
      </c>
      <c r="D7" s="32" t="s">
        <v>48</v>
      </c>
      <c r="E7" s="32"/>
      <c r="F7" s="20"/>
      <c r="G7" s="33" t="s">
        <v>63</v>
      </c>
      <c r="H7" s="34"/>
      <c r="I7" s="35"/>
    </row>
    <row r="8" spans="1:9" ht="50.25" customHeight="1" x14ac:dyDescent="0.25">
      <c r="A8" s="6">
        <v>4</v>
      </c>
      <c r="B8" s="20" t="s">
        <v>14</v>
      </c>
      <c r="C8" s="20" t="s">
        <v>17</v>
      </c>
      <c r="D8" s="32" t="s">
        <v>49</v>
      </c>
      <c r="E8" s="32"/>
      <c r="F8" s="20"/>
      <c r="G8" s="33" t="s">
        <v>64</v>
      </c>
      <c r="H8" s="34"/>
      <c r="I8" s="35"/>
    </row>
    <row r="9" spans="1:9" ht="74.25" customHeight="1" x14ac:dyDescent="0.25">
      <c r="A9" s="6">
        <v>5</v>
      </c>
      <c r="B9" s="22" t="s">
        <v>14</v>
      </c>
      <c r="C9" s="22" t="s">
        <v>57</v>
      </c>
      <c r="D9" s="36" t="s">
        <v>77</v>
      </c>
      <c r="E9" s="36"/>
      <c r="F9" s="20"/>
      <c r="G9" s="37" t="s">
        <v>65</v>
      </c>
      <c r="H9" s="38"/>
      <c r="I9" s="39"/>
    </row>
    <row r="10" spans="1:9" ht="64.5" customHeight="1" x14ac:dyDescent="0.25">
      <c r="A10" s="6">
        <v>6</v>
      </c>
      <c r="B10" s="20" t="s">
        <v>14</v>
      </c>
      <c r="C10" s="20" t="s">
        <v>19</v>
      </c>
      <c r="D10" s="32" t="s">
        <v>85</v>
      </c>
      <c r="E10" s="32"/>
      <c r="F10" s="20"/>
      <c r="G10" s="33" t="s">
        <v>66</v>
      </c>
      <c r="H10" s="34"/>
      <c r="I10" s="35"/>
    </row>
    <row r="11" spans="1:9" ht="63" customHeight="1" x14ac:dyDescent="0.25">
      <c r="A11" s="6">
        <v>7</v>
      </c>
      <c r="B11" s="20" t="s">
        <v>14</v>
      </c>
      <c r="C11" s="20" t="s">
        <v>30</v>
      </c>
      <c r="D11" s="32" t="s">
        <v>84</v>
      </c>
      <c r="E11" s="32"/>
      <c r="F11" s="20"/>
      <c r="G11" s="33"/>
      <c r="H11" s="34"/>
      <c r="I11" s="35"/>
    </row>
    <row r="12" spans="1:9" ht="60.75" customHeight="1" x14ac:dyDescent="0.25">
      <c r="A12" s="6">
        <v>8</v>
      </c>
      <c r="B12" s="20" t="s">
        <v>14</v>
      </c>
      <c r="C12" s="20" t="s">
        <v>20</v>
      </c>
      <c r="D12" s="32" t="s">
        <v>52</v>
      </c>
      <c r="E12" s="32"/>
      <c r="F12" s="20"/>
      <c r="G12" s="33" t="s">
        <v>67</v>
      </c>
      <c r="H12" s="34"/>
      <c r="I12" s="35"/>
    </row>
    <row r="13" spans="1:9" ht="30" customHeight="1" x14ac:dyDescent="0.25">
      <c r="A13" s="6">
        <v>9</v>
      </c>
      <c r="B13" s="20" t="s">
        <v>14</v>
      </c>
      <c r="C13" s="20" t="s">
        <v>31</v>
      </c>
      <c r="D13" s="32" t="s">
        <v>50</v>
      </c>
      <c r="E13" s="32"/>
      <c r="F13" s="20"/>
      <c r="G13" s="33"/>
      <c r="H13" s="34"/>
      <c r="I13" s="35"/>
    </row>
    <row r="14" spans="1:9" ht="51.75" customHeight="1" x14ac:dyDescent="0.25">
      <c r="A14" s="6">
        <v>10</v>
      </c>
      <c r="B14" s="20" t="s">
        <v>14</v>
      </c>
      <c r="C14" s="20" t="s">
        <v>32</v>
      </c>
      <c r="D14" s="32" t="s">
        <v>83</v>
      </c>
      <c r="E14" s="32"/>
      <c r="F14" s="20"/>
      <c r="G14" s="33" t="s">
        <v>73</v>
      </c>
      <c r="H14" s="34"/>
      <c r="I14" s="35"/>
    </row>
    <row r="15" spans="1:9" ht="33" customHeight="1" x14ac:dyDescent="0.25">
      <c r="A15" s="6">
        <v>11</v>
      </c>
      <c r="B15" s="20" t="s">
        <v>14</v>
      </c>
      <c r="C15" s="20" t="s">
        <v>33</v>
      </c>
      <c r="D15" s="32" t="s">
        <v>82</v>
      </c>
      <c r="E15" s="32"/>
      <c r="F15" s="20"/>
      <c r="G15" s="33" t="s">
        <v>34</v>
      </c>
      <c r="H15" s="34"/>
      <c r="I15" s="35"/>
    </row>
    <row r="16" spans="1:9" ht="61.5" customHeight="1" x14ac:dyDescent="0.25">
      <c r="A16" s="6">
        <v>12</v>
      </c>
      <c r="B16" s="20" t="s">
        <v>14</v>
      </c>
      <c r="C16" s="20" t="s">
        <v>35</v>
      </c>
      <c r="D16" s="32" t="s">
        <v>22</v>
      </c>
      <c r="E16" s="32"/>
      <c r="F16" s="20"/>
      <c r="G16" s="33" t="s">
        <v>86</v>
      </c>
      <c r="H16" s="34"/>
      <c r="I16" s="35"/>
    </row>
    <row r="17" spans="1:9" ht="52.5" customHeight="1" x14ac:dyDescent="0.25">
      <c r="A17" s="6">
        <v>13</v>
      </c>
      <c r="B17" s="20" t="s">
        <v>14</v>
      </c>
      <c r="C17" s="20" t="s">
        <v>23</v>
      </c>
      <c r="D17" s="32" t="s">
        <v>81</v>
      </c>
      <c r="E17" s="32"/>
      <c r="F17" s="20"/>
      <c r="G17" s="33" t="s">
        <v>78</v>
      </c>
      <c r="H17" s="34"/>
      <c r="I17" s="35"/>
    </row>
    <row r="18" spans="1:9" ht="31.5" customHeight="1" x14ac:dyDescent="0.25">
      <c r="A18" s="6">
        <v>14</v>
      </c>
      <c r="B18" s="20" t="s">
        <v>14</v>
      </c>
      <c r="C18" s="20" t="s">
        <v>24</v>
      </c>
      <c r="D18" s="32" t="s">
        <v>80</v>
      </c>
      <c r="E18" s="32"/>
      <c r="F18" s="20"/>
      <c r="G18" s="33"/>
      <c r="H18" s="34"/>
      <c r="I18" s="35"/>
    </row>
    <row r="19" spans="1:9" ht="54" customHeight="1" x14ac:dyDescent="0.25">
      <c r="A19" s="6">
        <v>15</v>
      </c>
      <c r="B19" s="20" t="s">
        <v>14</v>
      </c>
      <c r="C19" s="20" t="s">
        <v>25</v>
      </c>
      <c r="D19" s="32" t="s">
        <v>79</v>
      </c>
      <c r="E19" s="32"/>
      <c r="F19" s="20"/>
      <c r="G19" s="33" t="s">
        <v>69</v>
      </c>
      <c r="H19" s="34"/>
      <c r="I19" s="35"/>
    </row>
    <row r="20" spans="1:9" ht="49.5" customHeight="1" x14ac:dyDescent="0.25">
      <c r="A20" s="6">
        <v>16</v>
      </c>
      <c r="B20" s="20" t="s">
        <v>14</v>
      </c>
      <c r="C20" s="20" t="s">
        <v>36</v>
      </c>
      <c r="D20" s="32" t="s">
        <v>51</v>
      </c>
      <c r="E20" s="32"/>
      <c r="F20" s="20"/>
      <c r="G20" s="33" t="s">
        <v>68</v>
      </c>
      <c r="H20" s="34"/>
      <c r="I20" s="35"/>
    </row>
    <row r="21" spans="1:9" ht="21" x14ac:dyDescent="0.35">
      <c r="A21" s="3"/>
      <c r="B21" s="3"/>
      <c r="C21" s="2"/>
      <c r="D21" s="1"/>
      <c r="E21" s="4"/>
      <c r="F21" s="5"/>
      <c r="G21" s="4"/>
      <c r="H21" s="5"/>
      <c r="I21" s="1"/>
    </row>
  </sheetData>
  <mergeCells count="38">
    <mergeCell ref="D1:I1"/>
    <mergeCell ref="A2:B2"/>
    <mergeCell ref="A3:B3"/>
    <mergeCell ref="B4:C4"/>
    <mergeCell ref="D4:E4"/>
    <mergeCell ref="G4:I4"/>
    <mergeCell ref="D5:E5"/>
    <mergeCell ref="G5:I5"/>
    <mergeCell ref="D6:E6"/>
    <mergeCell ref="G6:I6"/>
    <mergeCell ref="D7:E7"/>
    <mergeCell ref="G7:I7"/>
    <mergeCell ref="D8:E8"/>
    <mergeCell ref="G8:I8"/>
    <mergeCell ref="D9:E9"/>
    <mergeCell ref="G9:I9"/>
    <mergeCell ref="D10:E10"/>
    <mergeCell ref="G10:I10"/>
    <mergeCell ref="D11:E11"/>
    <mergeCell ref="G11:I11"/>
    <mergeCell ref="D12:E12"/>
    <mergeCell ref="G12:I12"/>
    <mergeCell ref="D13:E13"/>
    <mergeCell ref="G13:I13"/>
    <mergeCell ref="D14:E14"/>
    <mergeCell ref="G14:I14"/>
    <mergeCell ref="D15:E15"/>
    <mergeCell ref="G15:I15"/>
    <mergeCell ref="D16:E16"/>
    <mergeCell ref="G16:I16"/>
    <mergeCell ref="D20:E20"/>
    <mergeCell ref="G20:I20"/>
    <mergeCell ref="D17:E17"/>
    <mergeCell ref="G17:I17"/>
    <mergeCell ref="D18:E18"/>
    <mergeCell ref="G18:I18"/>
    <mergeCell ref="D19:E19"/>
    <mergeCell ref="G19:I1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Final Scoring</vt:lpstr>
      <vt:lpstr>Daily Scoring - Day 1</vt:lpstr>
      <vt:lpstr>Daily Scoring - Day 2</vt:lpstr>
      <vt:lpstr>Daily Scoring - Day 3</vt:lpstr>
      <vt:lpstr>Daily Scoring - Day 4</vt:lpstr>
      <vt:lpstr>Daily Scoring - Day 5</vt:lpstr>
      <vt:lpstr>Daily Scoring - Day 6</vt:lpstr>
      <vt:lpstr>Daily Scoring - Day 7</vt:lpstr>
      <vt:lpstr>Daily Checklist 2</vt:lpstr>
      <vt:lpstr>Daily Checklist 3</vt:lpstr>
      <vt:lpstr>Daily Checklist 4</vt:lpstr>
      <vt:lpstr>Daily Checklist 5</vt:lpstr>
      <vt:lpstr>Daily Checklist 6</vt:lpstr>
      <vt:lpstr>Daily Checklist 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Annika Bergen</dc:creator>
  <cp:lastModifiedBy>Annika Bergen</cp:lastModifiedBy>
  <dcterms:created xsi:type="dcterms:W3CDTF">2019-08-17T17:37:52Z</dcterms:created>
  <dcterms:modified xsi:type="dcterms:W3CDTF">2020-01-03T15:42:17Z</dcterms:modified>
</cp:coreProperties>
</file>