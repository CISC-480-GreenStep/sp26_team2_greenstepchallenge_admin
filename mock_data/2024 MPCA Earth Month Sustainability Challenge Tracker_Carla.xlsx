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66925"/>
  <mc:AlternateContent xmlns:mc="http://schemas.openxmlformats.org/markup-compatibility/2006">
    <mc:Choice Requires="x15">
      <x15ac:absPath xmlns:x15ac="http://schemas.microsoft.com/office/spreadsheetml/2010/11/ac" url="https://mn365-my.sharepoint.com/personal/carla_inderrieden_state_mn_us/Documents/Desktop/"/>
    </mc:Choice>
  </mc:AlternateContent>
  <xr:revisionPtr revIDLastSave="62" documentId="8_{912B751B-4CF2-4B46-A473-3D091BD3EF9A}" xr6:coauthVersionLast="47" xr6:coauthVersionMax="47" xr10:uidLastSave="{8397AD6E-92BA-42AE-9330-4642B06916D4}"/>
  <bookViews>
    <workbookView xWindow="-120" yWindow="-120" windowWidth="25440" windowHeight="15390" xr2:uid="{00000000-000D-0000-FFFF-FFFF00000000}"/>
  </bookViews>
  <sheets>
    <sheet name="2024 Challenge Tracker"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3" i="2" l="1"/>
  <c r="F33" i="2"/>
  <c r="G33" i="2"/>
  <c r="H33" i="2"/>
  <c r="D33" i="2"/>
  <c r="D35" i="2" l="1"/>
</calcChain>
</file>

<file path=xl/sharedStrings.xml><?xml version="1.0" encoding="utf-8"?>
<sst xmlns="http://schemas.openxmlformats.org/spreadsheetml/2006/main" count="130" uniqueCount="66">
  <si>
    <t>Water</t>
  </si>
  <si>
    <t>Food</t>
  </si>
  <si>
    <t>Day 1</t>
  </si>
  <si>
    <t>Day 2</t>
  </si>
  <si>
    <t>Notes</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</si>
  <si>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</si>
  <si>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</si>
  <si>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</si>
  <si>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</si>
  <si>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</si>
  <si>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</si>
  <si>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</si>
  <si>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</si>
  <si>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</si>
  <si>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</si>
  <si>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</si>
  <si>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</si>
  <si>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</si>
  <si>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</si>
  <si>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</si>
  <si>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</si>
  <si>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</si>
  <si>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</si>
  <si>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</si>
  <si>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</si>
  <si>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</si>
  <si>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</si>
  <si>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</si>
  <si>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</si>
  <si>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</si>
  <si>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</si>
  <si>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</si>
  <si>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</si>
  <si>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Challenge day</t>
  </si>
  <si>
    <t>Date</t>
  </si>
  <si>
    <t>Energy</t>
  </si>
  <si>
    <t>Consumption</t>
  </si>
  <si>
    <t>Transportation</t>
  </si>
  <si>
    <t>Challenge week</t>
  </si>
  <si>
    <t>Week 1</t>
  </si>
  <si>
    <t>Week 2</t>
  </si>
  <si>
    <t>Week 3</t>
  </si>
  <si>
    <t>Week 4</t>
  </si>
  <si>
    <t>Bonus</t>
  </si>
  <si>
    <t>How was this week? What was easier or harder than you expected? Tips for others?</t>
  </si>
  <si>
    <t>TOTALS</t>
  </si>
  <si>
    <t>Throughout the challenge, the number of sustainable actions you took was:</t>
  </si>
  <si>
    <t>Other ways you can reduce your impact in each category:</t>
  </si>
  <si>
    <r>
      <rPr>
        <b/>
        <sz val="10"/>
        <color theme="1"/>
        <rFont val="Calibri"/>
        <family val="2"/>
        <scheme val="minor"/>
      </rPr>
      <t>1. Complete the water calculator</t>
    </r>
    <r>
      <rPr>
        <sz val="10"/>
        <color theme="1"/>
        <rFont val="Calibri"/>
        <family val="2"/>
        <scheme val="minor"/>
      </rPr>
      <t xml:space="preserve"> (www.watercalculator.org/): Use the calculator results to consider which areas of water consumption you can target for reduction
</t>
    </r>
    <r>
      <rPr>
        <b/>
        <sz val="10"/>
        <color theme="1"/>
        <rFont val="Calibri"/>
        <family val="2"/>
        <scheme val="minor"/>
      </rPr>
      <t>2. Look for leaks</t>
    </r>
    <r>
      <rPr>
        <sz val="10"/>
        <color theme="1"/>
        <rFont val="Calibri"/>
        <family val="2"/>
        <scheme val="minor"/>
      </rPr>
      <t xml:space="preserve">: Check for leaky water fixtures (water faucets, toilets always running, etc.)
</t>
    </r>
    <r>
      <rPr>
        <b/>
        <sz val="10"/>
        <color theme="1"/>
        <rFont val="Calibri"/>
        <family val="2"/>
        <scheme val="minor"/>
      </rPr>
      <t>3. Reduce toilet flushes</t>
    </r>
    <r>
      <rPr>
        <sz val="10"/>
        <color theme="1"/>
        <rFont val="Calibri"/>
        <family val="2"/>
        <scheme val="minor"/>
      </rPr>
      <t xml:space="preserve">: Only flush after "number two" to reduce your toilet water use
</t>
    </r>
    <r>
      <rPr>
        <b/>
        <sz val="10"/>
        <color theme="1"/>
        <rFont val="Calibri"/>
        <family val="2"/>
        <scheme val="minor"/>
      </rPr>
      <t>4. Reduce appliance water usage</t>
    </r>
    <r>
      <rPr>
        <sz val="10"/>
        <color theme="1"/>
        <rFont val="Calibri"/>
        <family val="2"/>
        <scheme val="minor"/>
      </rPr>
      <t xml:space="preserve">: 
  - Only run your dishwasher when it's full; don't run water while handwashing dishes
  - Only run your washing machine when it's full and your laundry is truly dirty
</t>
    </r>
    <r>
      <rPr>
        <b/>
        <sz val="10"/>
        <color theme="1"/>
        <rFont val="Calibri"/>
        <family val="2"/>
        <scheme val="minor"/>
      </rPr>
      <t xml:space="preserve">5. Plan ahead: </t>
    </r>
    <r>
      <rPr>
        <sz val="10"/>
        <color theme="1"/>
        <rFont val="Calibri"/>
        <family val="2"/>
        <scheme val="minor"/>
      </rPr>
      <t>Consider the seasons ahead and common water-intensive activities that could be reduced or eliminated. 
For example, install rain gardens, plant native plants and use pollinator-friendly landscaping, and reduce or eliminate yard irrigation and car washing</t>
    </r>
  </si>
  <si>
    <r>
      <rPr>
        <b/>
        <sz val="10"/>
        <color theme="1"/>
        <rFont val="Calibri"/>
        <family val="2"/>
        <scheme val="minor"/>
      </rPr>
      <t>1. Reduce wasted food</t>
    </r>
    <r>
      <rPr>
        <sz val="10"/>
        <color theme="1"/>
        <rFont val="Calibri"/>
        <family val="2"/>
        <scheme val="minor"/>
      </rPr>
      <t xml:space="preserve"> (www.pca.state.mn.us/living-green/reduce-your-wasted-food-challenge): Keep a wasted food log, tracking the amount (volume or weight) of food that is wasted in your house each week and identifying a strategy for reducing your wasted food
For example, change how you store items in your fridge, create meal plans, shop seasonally and in bulk, etc.
</t>
    </r>
    <r>
      <rPr>
        <b/>
        <sz val="10"/>
        <color theme="1"/>
        <rFont val="Calibri"/>
        <family val="2"/>
        <scheme val="minor"/>
      </rPr>
      <t>2. Initiate a conversation</t>
    </r>
    <r>
      <rPr>
        <sz val="10"/>
        <color theme="1"/>
        <rFont val="Calibri"/>
        <family val="2"/>
        <scheme val="minor"/>
      </rPr>
      <t xml:space="preserve"> with a neighborhood (or favorite) restaurant about portion size and opportunities for reducing wasted food in their operations.
</t>
    </r>
    <r>
      <rPr>
        <b/>
        <sz val="10"/>
        <color theme="1"/>
        <rFont val="Calibri"/>
        <family val="2"/>
        <scheme val="minor"/>
      </rPr>
      <t xml:space="preserve">3. Plan ahead: </t>
    </r>
    <r>
      <rPr>
        <sz val="10"/>
        <color theme="1"/>
        <rFont val="Calibri"/>
        <family val="2"/>
        <scheme val="minor"/>
      </rPr>
      <t>For this year’s growing season, try growing your own fruits and vegetables and source your food locally as much as possible.
Consider signing up for a Community Supported Agriculture membership (minnesotagrown.com/csa/?gclid=Cj0KCQiA9OiPBhCOARIsAI0y71AO9FWkGUaY9OPwAAFpJ1qFkpbMI726CPyJr1mU0bcmwgqhgzd_ploaAtxXEALw_wcB)</t>
    </r>
  </si>
  <si>
    <r>
      <rPr>
        <b/>
        <sz val="10"/>
        <color theme="1"/>
        <rFont val="Calibri"/>
        <family val="2"/>
        <scheme val="minor"/>
      </rPr>
      <t>1. Conduct a "single-use" audit and swaps</t>
    </r>
    <r>
      <rPr>
        <sz val="10"/>
        <color theme="1"/>
        <rFont val="Calibri"/>
        <family val="2"/>
        <scheme val="minor"/>
      </rPr>
      <t xml:space="preserve">: Audit the rooms in your home for single-use items, and identify items you can eliminate or swap for reusables (single-use items include items that are recycled or composted at end-of-use).
For example: soap/shampoo bottles, food storage/take-out containers, paper towels and napkins, diapers, cleaning product containers, etc.
</t>
    </r>
    <r>
      <rPr>
        <b/>
        <sz val="10"/>
        <color theme="1"/>
        <rFont val="Calibri"/>
        <family val="2"/>
        <scheme val="minor"/>
      </rPr>
      <t>2. Host a swap</t>
    </r>
    <r>
      <rPr>
        <sz val="10"/>
        <color theme="1"/>
        <rFont val="Calibri"/>
        <family val="2"/>
        <scheme val="minor"/>
      </rPr>
      <t xml:space="preserve"> (https://www.reusemn.org/share) with family and friends (textiles, games, books, etc.) and talk about the environmental benefits of not buying new. 
</t>
    </r>
    <r>
      <rPr>
        <b/>
        <sz val="10"/>
        <color theme="1"/>
        <rFont val="Calibri"/>
        <family val="2"/>
        <scheme val="minor"/>
      </rPr>
      <t xml:space="preserve">3. Plan ahead: </t>
    </r>
    <r>
      <rPr>
        <sz val="10"/>
        <color theme="1"/>
        <rFont val="Calibri"/>
        <family val="2"/>
        <scheme val="minor"/>
      </rPr>
      <t>Give more sustainably with experiences or reuse-centered gifts (https://heyzine.com/flip-book/99529817ae.html#page/1).</t>
    </r>
  </si>
  <si>
    <r>
      <rPr>
        <b/>
        <sz val="10"/>
        <color theme="1"/>
        <rFont val="Calibri"/>
        <family val="2"/>
        <scheme val="minor"/>
      </rPr>
      <t>1. Reduce laundry impacts</t>
    </r>
    <r>
      <rPr>
        <sz val="10"/>
        <color theme="1"/>
        <rFont val="Calibri"/>
        <family val="2"/>
        <scheme val="minor"/>
      </rPr>
      <t xml:space="preserve">: Wash your laundry in cold water and hang to dry.
</t>
    </r>
    <r>
      <rPr>
        <b/>
        <sz val="10"/>
        <color theme="1"/>
        <rFont val="Calibri"/>
        <family val="2"/>
        <scheme val="minor"/>
      </rPr>
      <t>2. Smarter energy use:</t>
    </r>
    <r>
      <rPr>
        <sz val="10"/>
        <color theme="1"/>
        <rFont val="Calibri"/>
        <family val="2"/>
        <scheme val="minor"/>
      </rPr>
      <t xml:space="preserve"> Unplug electronics when not in use, air seal or insulate your home, adjust your thermostat or water heater, use blinds to reduce heating and cooling, and upgrade all lightbulbs or any appliances to energy efficient options.
</t>
    </r>
    <r>
      <rPr>
        <b/>
        <sz val="10"/>
        <color theme="1"/>
        <rFont val="Calibri"/>
        <family val="2"/>
        <scheme val="minor"/>
      </rPr>
      <t>3. Opt for renewable energy</t>
    </r>
    <r>
      <rPr>
        <sz val="10"/>
        <color theme="1"/>
        <rFont val="Calibri"/>
        <family val="2"/>
        <scheme val="minor"/>
      </rPr>
      <t>: Sign up for renewable energy credit programs through your utility (e.g. Xcel has "Windsource") or invest in home or community solar. If you don't control your electricity source, ask your landlord to consider switching to clean energy.</t>
    </r>
  </si>
  <si>
    <r>
      <rPr>
        <b/>
        <sz val="10"/>
        <color theme="1"/>
        <rFont val="Calibri"/>
        <family val="2"/>
        <scheme val="minor"/>
      </rPr>
      <t>1. Host a climate conservation</t>
    </r>
    <r>
      <rPr>
        <sz val="10"/>
        <color theme="1"/>
        <rFont val="Calibri"/>
        <family val="2"/>
        <scheme val="minor"/>
      </rPr>
      <t xml:space="preserve"> (https://climate.state.mn.us/sites/climate-action/files/2021-09/ClimateConvoGuide_0.pdf)
</t>
    </r>
    <r>
      <rPr>
        <b/>
        <sz val="10"/>
        <color theme="1"/>
        <rFont val="Calibri"/>
        <family val="2"/>
        <scheme val="minor"/>
      </rPr>
      <t>2. Contact your elected representatives</t>
    </r>
    <r>
      <rPr>
        <sz val="10"/>
        <color theme="1"/>
        <rFont val="Calibri"/>
        <family val="2"/>
        <scheme val="minor"/>
      </rPr>
      <t xml:space="preserve"> in support of sustainable transit and walkable/bikeable communities  – do this as a private citizen, not a representative of the agency. https://www.commoncause.org/find-your-representative</t>
    </r>
  </si>
  <si>
    <t>Disclaimer: MPCA encourages healthy hygiene practices, but showering/bathing can be very water and energy intensive. Choosing to not shower every day is a great option to achieve reductions. Alternatively, you can reduce your time showering or sponge bathe.</t>
  </si>
  <si>
    <t xml:space="preserve">Disclaimer: MPCA recognizes the varying levels of impact of both the type of product using the energy as well as the energy source. MPCA encourages the use of energy efficient products and sourcing energy from renewable sources where possible when energy consumption is necessary. To not overcomplicate the challenge, we're encouraging consumption reduction. </t>
  </si>
  <si>
    <t xml:space="preserve">Disclaimer: MPCA recognizes that some consumption is essential and acknowledges the varying impacts of different types of products. Consider the amount of material in the product, the source of the product's materials, recycled content and future recyclability, product packaging, and the supply chain required to receive the product. To not overcomplicate the challenge, we're encouraging consumption reduction. </t>
  </si>
  <si>
    <t>Disclaimer: MPCA recognizes the life cycle impacts of vehicles vary by the types of vehicle. Some cars pollute less during the use phase if they’re more efficient, hybrid, or electric, so you can research or reach out to the Sustainability Team if you’re interested to discuss further. To not overcomplicate the challenge, we’re encouraging alternative transportation options.</t>
  </si>
  <si>
    <t xml:space="preserve">Disclaimer: MPCA recognizes the life cycle impacts of foods vary by the types of food, including meat. Some meats are lower impact than others (red vs. white, factory farm vs. free range, etc.), so you can research or reach out to the Sustainability Team if you’re interested to discuss further. To not overcomplicate the challenge, we’re encouraging plant-based. </t>
  </si>
  <si>
    <t>Did you skip a shower/bath today OR only shower for 5 minutes or less?*</t>
  </si>
  <si>
    <t>Did you eat a fully plant-based diet today (i.e., no red or white meat, fish, or dairy products)?*</t>
  </si>
  <si>
    <r>
      <t xml:space="preserve">Did you choose to </t>
    </r>
    <r>
      <rPr>
        <u/>
        <sz val="11"/>
        <color theme="0"/>
        <rFont val="Calibri"/>
        <family val="2"/>
        <scheme val="minor"/>
      </rPr>
      <t>not</t>
    </r>
    <r>
      <rPr>
        <sz val="11"/>
        <color theme="0"/>
        <rFont val="Calibri"/>
        <family val="2"/>
        <scheme val="minor"/>
      </rPr>
      <t xml:space="preserve"> buy any non-essential items today (essentials include food, medication, soap, toilet paper, etc.)?*</t>
    </r>
  </si>
  <si>
    <t>Did you unplug electronic chargers when not in use and fully power down your work station at the end of the day?*</t>
  </si>
  <si>
    <r>
      <t xml:space="preserve">Did you choose to </t>
    </r>
    <r>
      <rPr>
        <u/>
        <sz val="11"/>
        <color theme="0"/>
        <rFont val="Calibri"/>
        <family val="2"/>
        <scheme val="minor"/>
      </rPr>
      <t>not</t>
    </r>
    <r>
      <rPr>
        <sz val="11"/>
        <color theme="0"/>
        <rFont val="Calibri"/>
        <family val="2"/>
        <scheme val="minor"/>
      </rPr>
      <t xml:space="preserve"> be a single occupancy vehicle today  (i.e., walk, bike, use public transpo, carpool)?*</t>
    </r>
  </si>
  <si>
    <t>*DISCLAIMERS: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</si>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</sst>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9"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
      <b/>
      <sz val="16"/>
      <color theme="1"/>
      <name val="Calibri"/>
      <family val="2"/>
      <scheme val="minor"/>
    </font>
    <font>
      <b/>
      <sz val="16"/>
      <color theme="0"/>
      <name val="Calibri"/>
      <family val="2"/>
      <scheme val="minor"/>
    </font>
    <font>
      <b/>
      <sz val="18"/>
      <color theme="1"/>
      <name val="Calibri"/>
      <family val="2"/>
      <scheme val="minor"/>
    </font>
    <font>
      <b/>
      <sz val="14"/>
      <color theme="0"/>
      <name val="Calibri"/>
      <family val="2"/>
      <scheme val="minor"/>
    </font>
    <font>
      <b/>
      <sz val="14"/>
      <name val="Calibri"/>
      <family val="2"/>
      <scheme val="minor"/>
    </font>
    <font>
      <sz val="10"/>
      <color theme="1"/>
      <name val="Calibri"/>
      <family val="2"/>
      <scheme val="minor"/>
    </font>
    <font>
      <b/>
      <sz val="10"/>
      <color theme="1"/>
      <name val="Calibri"/>
      <family val="2"/>
      <scheme val="minor"/>
    </font>
    <font>
      <b/>
      <sz val="26"/>
      <color rgb="FF00AC00"/>
      <name val="Calibri"/>
      <family val="2"/>
      <scheme val="minor"/>
    </font>
    <font>
      <b/>
      <sz val="14"/>
      <color theme="4" tint="-0.249977111117893"/>
      <name val="Calibri"/>
      <family val="2"/>
      <scheme val="minor"/>
    </font>
    <font>
      <b/>
      <sz val="14"/>
      <color rgb="FF009999"/>
      <name val="Calibri"/>
      <family val="2"/>
      <scheme val="minor"/>
    </font>
    <font>
      <b/>
      <sz val="14"/>
      <color rgb="FF8F00C8"/>
      <name val="Calibri"/>
      <family val="2"/>
      <scheme val="minor"/>
    </font>
    <font>
      <b/>
      <sz val="14"/>
      <color rgb="FF00AC00"/>
      <name val="Calibri"/>
      <family val="2"/>
      <scheme val="minor"/>
    </font>
    <font>
      <i/>
      <sz val="9"/>
      <color theme="0"/>
      <name val="Calibri"/>
      <family val="2"/>
      <scheme val="minor"/>
    </font>
    <font>
      <sz val="11"/>
      <color theme="0"/>
      <name val="Calibri"/>
      <family val="2"/>
      <scheme val="minor"/>
    </font>
    <font>
      <u/>
      <sz val="11"/>
      <color theme="0"/>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theme="4" tint="-0.249977111117893"/>
        <bgColor indexed="64"/>
      </patternFill>
    </fill>
    <fill>
      <patternFill patternType="solid">
        <fgColor rgb="FF009999"/>
        <bgColor indexed="64"/>
      </patternFill>
    </fill>
    <fill>
      <patternFill patternType="solid">
        <fgColor rgb="FF8F00C8"/>
        <bgColor indexed="64"/>
      </patternFill>
    </fill>
    <fill>
      <patternFill patternType="solid">
        <fgColor theme="8" tint="-0.249977111117893"/>
        <bgColor indexed="64"/>
      </patternFill>
    </fill>
    <fill>
      <patternFill patternType="solid">
        <fgColor rgb="FF00AC00"/>
        <bgColor indexed="64"/>
      </patternFill>
    </fill>
    <fill>
      <patternFill patternType="solid">
        <fgColor theme="1"/>
        <bgColor indexed="64"/>
      </patternFill>
    </fill>
    <fill>
      <patternFill patternType="solid">
        <fgColor theme="4" tint="0.79998168889431442"/>
        <bgColor indexed="64"/>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double">
        <color indexed="64"/>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medium">
        <color indexed="64"/>
      </top>
      <bottom style="medium">
        <color indexed="64"/>
      </bottom>
      <diagonal/>
    </border>
  </borders>
  <cellStyleXfs count="1">
    <xf numFmtId="0" fontId="0" fillId="0" borderId="0"/>
  </cellStyleXfs>
  <cellXfs count="59">
    <xf numFmtId="0" fontId="0" fillId="0" borderId="0" xfId="0"/>
    <xf numFmtId="0" fontId="0" fillId="3" borderId="3"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0" borderId="1" xfId="0" applyBorder="1" applyAlignment="1" applyProtection="1">
      <alignment horizontal="center"/>
      <protection locked="0"/>
    </xf>
    <xf numFmtId="0" fontId="0" fillId="3" borderId="2" xfId="0" applyFill="1" applyBorder="1" applyAlignment="1" applyProtection="1">
      <alignment horizontal="center"/>
      <protection locked="0"/>
    </xf>
    <xf numFmtId="0" fontId="12" fillId="0" borderId="7" xfId="0" applyFont="1" applyBorder="1" applyAlignment="1" applyProtection="1">
      <alignment horizontal="center"/>
    </xf>
    <xf numFmtId="0" fontId="13" fillId="0" borderId="7" xfId="0" applyFont="1" applyBorder="1" applyAlignment="1" applyProtection="1">
      <alignment horizontal="center"/>
    </xf>
    <xf numFmtId="0" fontId="14" fillId="0" borderId="7" xfId="0" applyFont="1" applyBorder="1" applyAlignment="1" applyProtection="1">
      <alignment horizontal="center"/>
    </xf>
    <xf numFmtId="0" fontId="15" fillId="0" borderId="7" xfId="0" applyFont="1" applyBorder="1" applyAlignment="1" applyProtection="1">
      <alignment horizontal="center"/>
    </xf>
    <xf numFmtId="0" fontId="2" fillId="0" borderId="7" xfId="0" applyFont="1" applyBorder="1" applyAlignment="1" applyProtection="1">
      <alignment horizontal="center"/>
    </xf>
    <xf numFmtId="0" fontId="0" fillId="0" borderId="7" xfId="0" applyBorder="1" applyProtection="1"/>
    <xf numFmtId="0" fontId="0" fillId="0" borderId="0" xfId="0" applyProtection="1"/>
    <xf numFmtId="0" fontId="0" fillId="0" borderId="0" xfId="0" applyAlignment="1" applyProtection="1">
      <alignment horizontal="center"/>
    </xf>
    <xf numFmtId="0" fontId="11" fillId="0" borderId="6" xfId="0" applyFont="1" applyBorder="1" applyAlignment="1" applyProtection="1">
      <alignment horizontal="center" vertical="center"/>
    </xf>
    <xf numFmtId="0" fontId="0" fillId="9" borderId="0" xfId="0" applyFill="1" applyProtection="1"/>
    <xf numFmtId="0" fontId="9" fillId="0" borderId="0" xfId="0" quotePrefix="1" applyFont="1" applyAlignment="1" applyProtection="1">
      <alignment vertical="top" wrapText="1"/>
    </xf>
    <xf numFmtId="0" fontId="9" fillId="0" borderId="0" xfId="0" applyFont="1" applyAlignment="1" applyProtection="1">
      <alignment vertical="top" wrapText="1"/>
    </xf>
    <xf numFmtId="0" fontId="9" fillId="0" borderId="0" xfId="0" applyFont="1" applyAlignment="1" applyProtection="1">
      <alignment horizontal="left" vertical="top" wrapText="1"/>
    </xf>
    <xf numFmtId="0" fontId="0" fillId="3" borderId="3" xfId="0" applyFill="1" applyBorder="1" applyAlignment="1" applyProtection="1">
      <alignment horizontal="center"/>
    </xf>
    <xf numFmtId="164" fontId="0" fillId="3" borderId="3" xfId="0" applyNumberFormat="1" applyFill="1" applyBorder="1" applyAlignment="1" applyProtection="1">
      <alignment horizontal="center"/>
    </xf>
    <xf numFmtId="0" fontId="0" fillId="3" borderId="1" xfId="0" applyFill="1" applyBorder="1" applyAlignment="1" applyProtection="1">
      <alignment horizontal="center"/>
    </xf>
    <xf numFmtId="164" fontId="0" fillId="3" borderId="1" xfId="0" applyNumberFormat="1" applyFill="1" applyBorder="1" applyAlignment="1" applyProtection="1">
      <alignment horizontal="center"/>
    </xf>
    <xf numFmtId="0" fontId="0" fillId="0" borderId="1" xfId="0" applyBorder="1" applyAlignment="1" applyProtection="1">
      <alignment horizontal="center"/>
    </xf>
    <xf numFmtId="164" fontId="0" fillId="0" borderId="1" xfId="0" applyNumberFormat="1" applyBorder="1" applyAlignment="1" applyProtection="1">
      <alignment horizontal="center"/>
    </xf>
    <xf numFmtId="0" fontId="0" fillId="3" borderId="2" xfId="0" applyFill="1" applyBorder="1" applyAlignment="1" applyProtection="1">
      <alignment horizontal="center"/>
    </xf>
    <xf numFmtId="164" fontId="0" fillId="3" borderId="2" xfId="0" applyNumberFormat="1" applyFill="1" applyBorder="1" applyAlignment="1" applyProtection="1">
      <alignment horizontal="center"/>
    </xf>
    <xf numFmtId="0" fontId="5" fillId="4" borderId="1" xfId="0" applyFont="1" applyFill="1" applyBorder="1" applyAlignment="1" applyProtection="1">
      <alignment horizontal="center" wrapText="1"/>
    </xf>
    <xf numFmtId="0" fontId="5" fillId="5" borderId="1" xfId="0" applyFont="1" applyFill="1" applyBorder="1" applyAlignment="1" applyProtection="1">
      <alignment horizontal="center" wrapText="1"/>
    </xf>
    <xf numFmtId="0" fontId="5" fillId="6" borderId="1" xfId="0" applyFont="1" applyFill="1" applyBorder="1" applyAlignment="1" applyProtection="1">
      <alignment horizontal="center" wrapText="1"/>
    </xf>
    <xf numFmtId="0" fontId="5" fillId="8" borderId="1" xfId="0" applyFont="1" applyFill="1" applyBorder="1" applyAlignment="1" applyProtection="1">
      <alignment horizontal="center" wrapText="1"/>
    </xf>
    <xf numFmtId="0" fontId="5" fillId="7" borderId="1" xfId="0" applyFont="1" applyFill="1" applyBorder="1" applyAlignment="1" applyProtection="1">
      <alignment horizontal="center" wrapText="1"/>
    </xf>
    <xf numFmtId="0" fontId="4" fillId="2" borderId="1" xfId="0" applyFont="1" applyFill="1" applyBorder="1" applyAlignment="1" applyProtection="1">
      <alignment horizontal="center"/>
    </xf>
    <xf numFmtId="0" fontId="16" fillId="4" borderId="10" xfId="0" applyFont="1" applyFill="1" applyBorder="1" applyAlignment="1" applyProtection="1">
      <alignment horizontal="center" vertical="center" wrapText="1"/>
    </xf>
    <xf numFmtId="0" fontId="16" fillId="5" borderId="10" xfId="0" applyFont="1" applyFill="1" applyBorder="1" applyAlignment="1" applyProtection="1">
      <alignment horizontal="center" vertical="center" wrapText="1"/>
    </xf>
    <xf numFmtId="0" fontId="16" fillId="7" borderId="10" xfId="0" applyFont="1" applyFill="1" applyBorder="1" applyAlignment="1" applyProtection="1">
      <alignment horizontal="center" vertical="center" wrapText="1"/>
    </xf>
    <xf numFmtId="0" fontId="16" fillId="6" borderId="10" xfId="0" applyFont="1" applyFill="1" applyBorder="1" applyAlignment="1" applyProtection="1">
      <alignment horizontal="center" vertical="center" wrapText="1"/>
    </xf>
    <xf numFmtId="0" fontId="16" fillId="8" borderId="10" xfId="0" applyFont="1" applyFill="1" applyBorder="1" applyAlignment="1" applyProtection="1">
      <alignment horizontal="center" vertical="center" wrapText="1"/>
    </xf>
    <xf numFmtId="0" fontId="1" fillId="2" borderId="2" xfId="0" applyFont="1" applyFill="1" applyBorder="1" applyAlignment="1" applyProtection="1">
      <alignment horizontal="center" vertical="center" wrapText="1"/>
    </xf>
    <xf numFmtId="0" fontId="4" fillId="0" borderId="0" xfId="0" applyFont="1" applyAlignment="1" applyProtection="1">
      <alignment horizontal="right"/>
    </xf>
    <xf numFmtId="0" fontId="17" fillId="4" borderId="2" xfId="0" applyFont="1" applyFill="1" applyBorder="1" applyAlignment="1" applyProtection="1">
      <alignment horizontal="center" vertical="center" wrapText="1"/>
    </xf>
    <xf numFmtId="0" fontId="17" fillId="5" borderId="2" xfId="0" applyFont="1" applyFill="1" applyBorder="1" applyAlignment="1" applyProtection="1">
      <alignment horizontal="center" vertical="center" wrapText="1"/>
    </xf>
    <xf numFmtId="0" fontId="17" fillId="6" borderId="2" xfId="0" applyFont="1" applyFill="1" applyBorder="1" applyAlignment="1" applyProtection="1">
      <alignment horizontal="center" vertical="center" wrapText="1"/>
    </xf>
    <xf numFmtId="0" fontId="17" fillId="8" borderId="2" xfId="0" applyFont="1" applyFill="1" applyBorder="1" applyAlignment="1" applyProtection="1">
      <alignment horizontal="center" vertical="center" wrapText="1"/>
    </xf>
    <xf numFmtId="0" fontId="17" fillId="7" borderId="2" xfId="0" applyFont="1" applyFill="1" applyBorder="1" applyAlignment="1" applyProtection="1">
      <alignment horizontal="center" vertical="center" wrapText="1"/>
    </xf>
    <xf numFmtId="0" fontId="6" fillId="0" borderId="7" xfId="0" applyFont="1" applyBorder="1" applyAlignment="1" applyProtection="1">
      <alignment horizontal="right"/>
    </xf>
    <xf numFmtId="0" fontId="7" fillId="9" borderId="4" xfId="0" applyFont="1" applyFill="1" applyBorder="1" applyAlignment="1" applyProtection="1">
      <alignment horizontal="center" wrapText="1"/>
    </xf>
    <xf numFmtId="0" fontId="7" fillId="9" borderId="5" xfId="0" applyFont="1" applyFill="1" applyBorder="1" applyAlignment="1" applyProtection="1">
      <alignment horizontal="center" wrapText="1"/>
    </xf>
    <xf numFmtId="0" fontId="8" fillId="10" borderId="0" xfId="0" applyFont="1" applyFill="1" applyAlignment="1" applyProtection="1">
      <alignment horizontal="right" vertical="top" wrapText="1"/>
    </xf>
    <xf numFmtId="0" fontId="1" fillId="0" borderId="1" xfId="0" applyFont="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0" fillId="3" borderId="3" xfId="0" applyFill="1"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3" borderId="1" xfId="0" applyFill="1" applyBorder="1" applyAlignment="1" applyProtection="1">
      <alignment horizontal="center"/>
      <protection locked="0"/>
    </xf>
    <xf numFmtId="0" fontId="0" fillId="3" borderId="2" xfId="0" applyFill="1" applyBorder="1" applyAlignment="1" applyProtection="1">
      <alignment horizontal="center"/>
      <protection locked="0"/>
    </xf>
    <xf numFmtId="0" fontId="4" fillId="2" borderId="9" xfId="0" applyFont="1" applyFill="1" applyBorder="1" applyAlignment="1" applyProtection="1">
      <alignment horizontal="center" vertical="center" wrapText="1"/>
    </xf>
    <xf numFmtId="0" fontId="4" fillId="2" borderId="8"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Medium9"/>
  <colors>
    <mruColors>
      <color rgb="FF00AC00"/>
      <color rgb="FF8F00C8"/>
      <color rgb="FF009999"/>
      <color rgb="FF00CC00"/>
      <color rgb="FF003399"/>
      <color rgb="FFE66B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A252-8CAA-4DAA-8032-F3DC231BD323}">
  <dimension ref="A1:I40"/>
  <sheetViews>
    <sheetView tabSelected="1" workbookViewId="0">
      <selection activeCell="E7" sqref="E7"/>
    </sheetView>
  </sheetViews>
  <sheetFormatPr defaultColWidth="8.85546875" defaultRowHeight="15" x14ac:dyDescent="0.25"/>
  <cols>
    <col min="1" max="1" width="15.7109375" style="11" customWidth="1"/>
    <col min="2" max="2" width="15.7109375" style="12" customWidth="1"/>
    <col min="3" max="3" width="8.5703125" style="11" customWidth="1"/>
    <col min="4" max="8" width="33.7109375" style="11" customWidth="1"/>
    <col min="9" max="9" width="44" style="11" customWidth="1"/>
    <col min="10" max="16384" width="8.85546875" style="11"/>
  </cols>
  <sheetData>
    <row r="1" spans="1:9" ht="21" customHeight="1" x14ac:dyDescent="0.35">
      <c r="A1" s="56" t="s">
        <v>38</v>
      </c>
      <c r="B1" s="56" t="s">
        <v>33</v>
      </c>
      <c r="C1" s="56" t="s">
        <v>34</v>
      </c>
      <c r="D1" s="26" t="s">
        <v>0</v>
      </c>
      <c r="E1" s="27" t="s">
        <v>1</v>
      </c>
      <c r="F1" s="28" t="s">
        <v>36</v>
      </c>
      <c r="G1" s="29" t="s">
        <v>35</v>
      </c>
      <c r="H1" s="30" t="s">
        <v>37</v>
      </c>
      <c r="I1" s="31" t="s">
        <v>4</v>
      </c>
    </row>
    <row r="2" spans="1:9" ht="60.75" thickBot="1" x14ac:dyDescent="0.3">
      <c r="A2" s="57"/>
      <c r="B2" s="57"/>
      <c r="C2" s="57"/>
      <c r="D2" s="39" t="s">
        <v>58</v>
      </c>
      <c r="E2" s="40" t="s">
        <v>59</v>
      </c>
      <c r="F2" s="41" t="s">
        <v>60</v>
      </c>
      <c r="G2" s="42" t="s">
        <v>61</v>
      </c>
      <c r="H2" s="43" t="s">
        <v>62</v>
      </c>
      <c r="I2" s="37" t="s">
        <v>44</v>
      </c>
    </row>
    <row r="3" spans="1:9" x14ac:dyDescent="0.25">
      <c r="A3" s="58" t="s">
        <v>39</v>
      </c>
      <c r="B3" s="18" t="s">
        <v>2</v>
      </c>
      <c r="C3" s="19">
        <v>45383</v>
      </c>
      <c r="D3" s="1" t="s">
        <v>64</v>
      </c>
      <c r="E3" s="1"/>
      <c r="F3" s="1" t="s">
        <v>64</v>
      </c>
      <c r="G3" s="1"/>
      <c r="H3" s="1" t="s">
        <v>64</v>
      </c>
      <c r="I3" s="51"/>
    </row>
    <row r="4" spans="1:9" x14ac:dyDescent="0.25">
      <c r="A4" s="49"/>
      <c r="B4" s="20" t="s">
        <v>3</v>
      </c>
      <c r="C4" s="21">
        <v>45384</v>
      </c>
      <c r="D4" s="2" t="s">
        <v>65</v>
      </c>
      <c r="E4" s="2"/>
      <c r="F4" s="2" t="s">
        <v>64</v>
      </c>
      <c r="G4" s="2"/>
      <c r="H4" s="2" t="s">
        <v>64</v>
      </c>
      <c r="I4" s="52"/>
    </row>
    <row r="5" spans="1:9" x14ac:dyDescent="0.25">
      <c r="A5" s="49"/>
      <c r="B5" s="20" t="s">
        <v>5</v>
      </c>
      <c r="C5" s="21">
        <v>45385</v>
      </c>
      <c r="D5" s="2" t="s">
        <v>64</v>
      </c>
      <c r="E5" s="2"/>
      <c r="F5" s="2" t="s">
        <v>64</v>
      </c>
      <c r="G5" s="2"/>
      <c r="H5" s="2" t="s">
        <v>64</v>
      </c>
      <c r="I5" s="52"/>
    </row>
    <row r="6" spans="1:9" x14ac:dyDescent="0.25">
      <c r="A6" s="49"/>
      <c r="B6" s="20" t="s">
        <v>6</v>
      </c>
      <c r="C6" s="21">
        <v>45386</v>
      </c>
      <c r="D6" s="2" t="s">
        <v>64</v>
      </c>
      <c r="E6" s="2"/>
      <c r="F6" s="2" t="s">
        <v>64</v>
      </c>
      <c r="G6" s="2"/>
      <c r="H6" s="2" t="s">
        <v>64</v>
      </c>
      <c r="I6" s="52"/>
    </row>
    <row r="7" spans="1:9" x14ac:dyDescent="0.25">
      <c r="A7" s="49"/>
      <c r="B7" s="20" t="s">
        <v>7</v>
      </c>
      <c r="C7" s="21">
        <v>45387</v>
      </c>
      <c r="D7" s="2" t="s">
        <v>64</v>
      </c>
      <c r="E7" s="2"/>
      <c r="F7" s="2" t="s">
        <v>64</v>
      </c>
      <c r="G7" s="2"/>
      <c r="H7" s="2" t="s">
        <v>64</v>
      </c>
      <c r="I7" s="52"/>
    </row>
    <row r="8" spans="1:9" x14ac:dyDescent="0.25">
      <c r="A8" s="49"/>
      <c r="B8" s="20" t="s">
        <v>8</v>
      </c>
      <c r="C8" s="21">
        <v>45388</v>
      </c>
      <c r="D8" s="2" t="s">
        <v>64</v>
      </c>
      <c r="E8" s="2"/>
      <c r="F8" s="2" t="s">
        <v>64</v>
      </c>
      <c r="G8" s="2"/>
      <c r="H8" s="2" t="s">
        <v>64</v>
      </c>
      <c r="I8" s="52"/>
    </row>
    <row r="9" spans="1:9" x14ac:dyDescent="0.25">
      <c r="A9" s="49"/>
      <c r="B9" s="20" t="s">
        <v>9</v>
      </c>
      <c r="C9" s="21">
        <v>45389</v>
      </c>
      <c r="D9" s="2" t="s">
        <v>64</v>
      </c>
      <c r="E9" s="2"/>
      <c r="F9" s="2" t="s">
        <v>64</v>
      </c>
      <c r="G9" s="2"/>
      <c r="H9" s="2" t="s">
        <v>64</v>
      </c>
      <c r="I9" s="52"/>
    </row>
    <row r="10" spans="1:9" x14ac:dyDescent="0.25">
      <c r="A10" s="48" t="s">
        <v>40</v>
      </c>
      <c r="B10" s="22" t="s">
        <v>10</v>
      </c>
      <c r="C10" s="23">
        <v>45390</v>
      </c>
      <c r="D10" s="3" t="s">
        <v>64</v>
      </c>
      <c r="E10" s="3"/>
      <c r="F10" s="3" t="s">
        <v>64</v>
      </c>
      <c r="G10" s="3"/>
      <c r="H10" s="3" t="s">
        <v>64</v>
      </c>
      <c r="I10" s="53"/>
    </row>
    <row r="11" spans="1:9" x14ac:dyDescent="0.25">
      <c r="A11" s="48"/>
      <c r="B11" s="22" t="s">
        <v>11</v>
      </c>
      <c r="C11" s="23">
        <v>45391</v>
      </c>
      <c r="D11" s="3" t="s">
        <v>64</v>
      </c>
      <c r="E11" s="3"/>
      <c r="F11" s="3" t="s">
        <v>64</v>
      </c>
      <c r="G11" s="3"/>
      <c r="H11" s="3" t="s">
        <v>64</v>
      </c>
      <c r="I11" s="53"/>
    </row>
    <row r="12" spans="1:9" x14ac:dyDescent="0.25">
      <c r="A12" s="48"/>
      <c r="B12" s="22" t="s">
        <v>12</v>
      </c>
      <c r="C12" s="23">
        <v>45392</v>
      </c>
      <c r="D12" s="3" t="s">
        <v>64</v>
      </c>
      <c r="E12" s="3"/>
      <c r="F12" s="3" t="s">
        <v>64</v>
      </c>
      <c r="G12" s="3"/>
      <c r="H12" s="3" t="s">
        <v>64</v>
      </c>
      <c r="I12" s="53"/>
    </row>
    <row r="13" spans="1:9" x14ac:dyDescent="0.25">
      <c r="A13" s="48"/>
      <c r="B13" s="22" t="s">
        <v>13</v>
      </c>
      <c r="C13" s="23">
        <v>45393</v>
      </c>
      <c r="D13" s="3" t="s">
        <v>64</v>
      </c>
      <c r="E13" s="3"/>
      <c r="F13" s="3" t="s">
        <v>65</v>
      </c>
      <c r="G13" s="3"/>
      <c r="H13" s="3" t="s">
        <v>64</v>
      </c>
      <c r="I13" s="53"/>
    </row>
    <row r="14" spans="1:9" x14ac:dyDescent="0.25">
      <c r="A14" s="48"/>
      <c r="B14" s="22" t="s">
        <v>14</v>
      </c>
      <c r="C14" s="23">
        <v>45394</v>
      </c>
      <c r="D14" s="3" t="s">
        <v>64</v>
      </c>
      <c r="E14" s="3" t="s">
        <v>64</v>
      </c>
      <c r="F14" s="3" t="s">
        <v>64</v>
      </c>
      <c r="G14" s="3"/>
      <c r="H14" s="3" t="s">
        <v>64</v>
      </c>
      <c r="I14" s="53"/>
    </row>
    <row r="15" spans="1:9" x14ac:dyDescent="0.25">
      <c r="A15" s="48"/>
      <c r="B15" s="22" t="s">
        <v>15</v>
      </c>
      <c r="C15" s="23">
        <v>45395</v>
      </c>
      <c r="D15" s="3" t="s">
        <v>65</v>
      </c>
      <c r="E15" s="3" t="s">
        <v>65</v>
      </c>
      <c r="F15" s="3" t="s">
        <v>64</v>
      </c>
      <c r="G15" s="3"/>
      <c r="H15" s="3" t="s">
        <v>64</v>
      </c>
      <c r="I15" s="53"/>
    </row>
    <row r="16" spans="1:9" x14ac:dyDescent="0.25">
      <c r="A16" s="48"/>
      <c r="B16" s="22" t="s">
        <v>16</v>
      </c>
      <c r="C16" s="23">
        <v>45396</v>
      </c>
      <c r="D16" s="3" t="s">
        <v>64</v>
      </c>
      <c r="E16" s="3" t="s">
        <v>64</v>
      </c>
      <c r="F16" s="3" t="s">
        <v>64</v>
      </c>
      <c r="G16" s="3"/>
      <c r="H16" s="3" t="s">
        <v>65</v>
      </c>
      <c r="I16" s="53"/>
    </row>
    <row r="17" spans="1:9" x14ac:dyDescent="0.25">
      <c r="A17" s="49" t="s">
        <v>41</v>
      </c>
      <c r="B17" s="20" t="s">
        <v>17</v>
      </c>
      <c r="C17" s="21">
        <v>45397</v>
      </c>
      <c r="D17" s="2" t="s">
        <v>64</v>
      </c>
      <c r="E17" s="2" t="s">
        <v>64</v>
      </c>
      <c r="F17" s="2" t="s">
        <v>64</v>
      </c>
      <c r="G17" s="2"/>
      <c r="H17" s="2" t="s">
        <v>64</v>
      </c>
      <c r="I17" s="52"/>
    </row>
    <row r="18" spans="1:9" x14ac:dyDescent="0.25">
      <c r="A18" s="49"/>
      <c r="B18" s="20" t="s">
        <v>18</v>
      </c>
      <c r="C18" s="21">
        <v>45398</v>
      </c>
      <c r="D18" s="2" t="s">
        <v>64</v>
      </c>
      <c r="E18" s="2" t="s">
        <v>64</v>
      </c>
      <c r="F18" s="2" t="s">
        <v>64</v>
      </c>
      <c r="G18" s="2"/>
      <c r="H18" s="2" t="s">
        <v>64</v>
      </c>
      <c r="I18" s="52"/>
    </row>
    <row r="19" spans="1:9" x14ac:dyDescent="0.25">
      <c r="A19" s="49"/>
      <c r="B19" s="20" t="s">
        <v>19</v>
      </c>
      <c r="C19" s="21">
        <v>45399</v>
      </c>
      <c r="D19" s="2" t="s">
        <v>64</v>
      </c>
      <c r="E19" s="2" t="s">
        <v>65</v>
      </c>
      <c r="F19" s="2" t="s">
        <v>64</v>
      </c>
      <c r="G19" s="2"/>
      <c r="H19" s="2" t="s">
        <v>65</v>
      </c>
      <c r="I19" s="52"/>
    </row>
    <row r="20" spans="1:9" x14ac:dyDescent="0.25">
      <c r="A20" s="49"/>
      <c r="B20" s="20" t="s">
        <v>20</v>
      </c>
      <c r="C20" s="21">
        <v>45400</v>
      </c>
      <c r="D20" s="2" t="s">
        <v>64</v>
      </c>
      <c r="E20" s="2" t="s">
        <v>64</v>
      </c>
      <c r="F20" s="2" t="s">
        <v>64</v>
      </c>
      <c r="G20" s="2"/>
      <c r="H20" s="2" t="s">
        <v>64</v>
      </c>
      <c r="I20" s="52"/>
    </row>
    <row r="21" spans="1:9" x14ac:dyDescent="0.25">
      <c r="A21" s="49"/>
      <c r="B21" s="20" t="s">
        <v>21</v>
      </c>
      <c r="C21" s="21">
        <v>45401</v>
      </c>
      <c r="D21" s="2"/>
      <c r="E21" s="2"/>
      <c r="F21" s="2"/>
      <c r="G21" s="2"/>
      <c r="H21" s="2"/>
      <c r="I21" s="52"/>
    </row>
    <row r="22" spans="1:9" x14ac:dyDescent="0.25">
      <c r="A22" s="49"/>
      <c r="B22" s="20" t="s">
        <v>22</v>
      </c>
      <c r="C22" s="21">
        <v>45402</v>
      </c>
      <c r="D22" s="2"/>
      <c r="E22" s="2"/>
      <c r="F22" s="2"/>
      <c r="G22" s="2"/>
      <c r="H22" s="2"/>
      <c r="I22" s="52"/>
    </row>
    <row r="23" spans="1:9" x14ac:dyDescent="0.25">
      <c r="A23" s="49"/>
      <c r="B23" s="20" t="s">
        <v>23</v>
      </c>
      <c r="C23" s="21">
        <v>45403</v>
      </c>
      <c r="D23" s="2"/>
      <c r="E23" s="2"/>
      <c r="F23" s="2"/>
      <c r="G23" s="2"/>
      <c r="H23" s="2"/>
      <c r="I23" s="52"/>
    </row>
    <row r="24" spans="1:9" x14ac:dyDescent="0.25">
      <c r="A24" s="48" t="s">
        <v>42</v>
      </c>
      <c r="B24" s="22" t="s">
        <v>24</v>
      </c>
      <c r="C24" s="23">
        <v>45404</v>
      </c>
      <c r="D24" s="3"/>
      <c r="E24" s="3"/>
      <c r="F24" s="3"/>
      <c r="G24" s="3"/>
      <c r="H24" s="3"/>
      <c r="I24" s="53"/>
    </row>
    <row r="25" spans="1:9" x14ac:dyDescent="0.25">
      <c r="A25" s="48"/>
      <c r="B25" s="22" t="s">
        <v>25</v>
      </c>
      <c r="C25" s="23">
        <v>45405</v>
      </c>
      <c r="D25" s="3"/>
      <c r="E25" s="3"/>
      <c r="F25" s="3"/>
      <c r="G25" s="3"/>
      <c r="H25" s="3"/>
      <c r="I25" s="53"/>
    </row>
    <row r="26" spans="1:9" x14ac:dyDescent="0.25">
      <c r="A26" s="48"/>
      <c r="B26" s="22" t="s">
        <v>26</v>
      </c>
      <c r="C26" s="23">
        <v>45406</v>
      </c>
      <c r="D26" s="3"/>
      <c r="E26" s="3"/>
      <c r="F26" s="3"/>
      <c r="G26" s="3"/>
      <c r="H26" s="3"/>
      <c r="I26" s="53"/>
    </row>
    <row r="27" spans="1:9" x14ac:dyDescent="0.25">
      <c r="A27" s="48"/>
      <c r="B27" s="22" t="s">
        <v>27</v>
      </c>
      <c r="C27" s="23">
        <v>45407</v>
      </c>
      <c r="D27" s="3"/>
      <c r="E27" s="3"/>
      <c r="F27" s="3"/>
      <c r="G27" s="3"/>
      <c r="H27" s="3"/>
      <c r="I27" s="53"/>
    </row>
    <row r="28" spans="1:9" x14ac:dyDescent="0.25">
      <c r="A28" s="48"/>
      <c r="B28" s="22" t="s">
        <v>28</v>
      </c>
      <c r="C28" s="23">
        <v>45408</v>
      </c>
      <c r="D28" s="3"/>
      <c r="E28" s="3"/>
      <c r="F28" s="3"/>
      <c r="G28" s="3"/>
      <c r="H28" s="3"/>
      <c r="I28" s="53"/>
    </row>
    <row r="29" spans="1:9" x14ac:dyDescent="0.25">
      <c r="A29" s="48"/>
      <c r="B29" s="22" t="s">
        <v>29</v>
      </c>
      <c r="C29" s="23">
        <v>45409</v>
      </c>
      <c r="D29" s="3"/>
      <c r="E29" s="3"/>
      <c r="F29" s="3"/>
      <c r="G29" s="3"/>
      <c r="H29" s="3"/>
      <c r="I29" s="53"/>
    </row>
    <row r="30" spans="1:9" x14ac:dyDescent="0.25">
      <c r="A30" s="48"/>
      <c r="B30" s="22" t="s">
        <v>30</v>
      </c>
      <c r="C30" s="23">
        <v>45410</v>
      </c>
      <c r="D30" s="3"/>
      <c r="E30" s="3"/>
      <c r="F30" s="3"/>
      <c r="G30" s="3"/>
      <c r="H30" s="3"/>
      <c r="I30" s="53"/>
    </row>
    <row r="31" spans="1:9" x14ac:dyDescent="0.25">
      <c r="A31" s="49" t="s">
        <v>43</v>
      </c>
      <c r="B31" s="20" t="s">
        <v>31</v>
      </c>
      <c r="C31" s="21">
        <v>45411</v>
      </c>
      <c r="D31" s="2"/>
      <c r="E31" s="2"/>
      <c r="F31" s="2"/>
      <c r="G31" s="2"/>
      <c r="H31" s="2"/>
      <c r="I31" s="54"/>
    </row>
    <row r="32" spans="1:9" ht="15.75" thickBot="1" x14ac:dyDescent="0.3">
      <c r="A32" s="50"/>
      <c r="B32" s="24" t="s">
        <v>32</v>
      </c>
      <c r="C32" s="25">
        <v>45412</v>
      </c>
      <c r="D32" s="4"/>
      <c r="E32" s="4"/>
      <c r="F32" s="4"/>
      <c r="G32" s="4"/>
      <c r="H32" s="4"/>
      <c r="I32" s="55"/>
    </row>
    <row r="33" spans="1:9" ht="24" thickBot="1" x14ac:dyDescent="0.4">
      <c r="A33" s="44" t="s">
        <v>45</v>
      </c>
      <c r="B33" s="44"/>
      <c r="C33" s="44"/>
      <c r="D33" s="5">
        <f>COUNTIF(D3:D32,"Yes!")</f>
        <v>16</v>
      </c>
      <c r="E33" s="6">
        <f t="shared" ref="E33:H33" si="0">COUNTIF(E3:E32,"Yes!")</f>
        <v>5</v>
      </c>
      <c r="F33" s="7">
        <f t="shared" si="0"/>
        <v>17</v>
      </c>
      <c r="G33" s="8">
        <f t="shared" si="0"/>
        <v>0</v>
      </c>
      <c r="H33" s="9">
        <f t="shared" si="0"/>
        <v>16</v>
      </c>
      <c r="I33" s="10"/>
    </row>
    <row r="34" spans="1:9" ht="5.45" customHeight="1" thickTop="1" thickBot="1" x14ac:dyDescent="0.3"/>
    <row r="35" spans="1:9" ht="55.15" customHeight="1" thickBot="1" x14ac:dyDescent="0.35">
      <c r="A35" s="45" t="s">
        <v>46</v>
      </c>
      <c r="B35" s="46"/>
      <c r="C35" s="46"/>
      <c r="D35" s="13">
        <f>SUM(D33:H33)</f>
        <v>54</v>
      </c>
      <c r="E35" s="14"/>
      <c r="F35" s="14"/>
      <c r="G35" s="14"/>
      <c r="H35" s="14"/>
      <c r="I35" s="14"/>
    </row>
    <row r="37" spans="1:9" ht="331.5" x14ac:dyDescent="0.25">
      <c r="A37" s="47" t="s">
        <v>47</v>
      </c>
      <c r="B37" s="47"/>
      <c r="C37" s="47"/>
      <c r="D37" s="15" t="s">
        <v>48</v>
      </c>
      <c r="E37" s="16" t="s">
        <v>49</v>
      </c>
      <c r="F37" s="17" t="s">
        <v>50</v>
      </c>
      <c r="G37" s="17" t="s">
        <v>51</v>
      </c>
      <c r="H37" s="16" t="s">
        <v>52</v>
      </c>
    </row>
    <row r="39" spans="1:9" ht="21.75" thickBot="1" x14ac:dyDescent="0.4">
      <c r="C39" s="38" t="s">
        <v>63</v>
      </c>
      <c r="D39" s="26" t="s">
        <v>0</v>
      </c>
      <c r="E39" s="27" t="s">
        <v>1</v>
      </c>
      <c r="F39" s="28" t="s">
        <v>36</v>
      </c>
      <c r="G39" s="29" t="s">
        <v>35</v>
      </c>
      <c r="H39" s="30" t="s">
        <v>37</v>
      </c>
    </row>
    <row r="40" spans="1:9" ht="135" customHeight="1" thickBot="1" x14ac:dyDescent="0.3">
      <c r="D40" s="32" t="s">
        <v>53</v>
      </c>
      <c r="E40" s="33" t="s">
        <v>57</v>
      </c>
      <c r="F40" s="35" t="s">
        <v>55</v>
      </c>
      <c r="G40" s="36" t="s">
        <v>54</v>
      </c>
      <c r="H40" s="34" t="s">
        <v>56</v>
      </c>
    </row>
  </sheetData>
  <sheetProtection sheet="1" selectLockedCells="1"/>
  <mergeCells count="16">
    <mergeCell ref="A17:A23"/>
    <mergeCell ref="A1:A2"/>
    <mergeCell ref="B1:B2"/>
    <mergeCell ref="C1:C2"/>
    <mergeCell ref="A3:A9"/>
    <mergeCell ref="A10:A16"/>
    <mergeCell ref="I3:I9"/>
    <mergeCell ref="I10:I16"/>
    <mergeCell ref="I17:I23"/>
    <mergeCell ref="I24:I30"/>
    <mergeCell ref="I31:I32"/>
    <mergeCell ref="A33:C33"/>
    <mergeCell ref="A35:C35"/>
    <mergeCell ref="A37:C37"/>
    <mergeCell ref="A24:A30"/>
    <mergeCell ref="A31:A32"/>
  </mergeCells>
  <phoneticPr fontId="3" type="noConversion"/>
  <dataValidations count="1">
    <dataValidation type="list" allowBlank="1" showInputMessage="1" showErrorMessage="1" sqref="D3:H32" xr:uid="{27A58B24-D0C0-4785-8A1E-CF1B125F0CBF}">
      <formula1>"Yes!,No"</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5A7194016E8B4D81AD048098ACAFFC" ma:contentTypeVersion="2" ma:contentTypeDescription="Create a new document." ma:contentTypeScope="" ma:versionID="2b41a313b3a59b5165ff7b63b5ea0051">
  <xsd:schema xmlns:xsd="http://www.w3.org/2001/XMLSchema" xmlns:xs="http://www.w3.org/2001/XMLSchema" xmlns:p="http://schemas.microsoft.com/office/2006/metadata/properties" xmlns:ns2="9d43ebce-99b4-4362-8c18-24d013f8f1c1" targetNamespace="http://schemas.microsoft.com/office/2006/metadata/properties" ma:root="true" ma:fieldsID="6966d3551d412927b76b618c00cfa41f" ns2:_="">
    <xsd:import namespace="9d43ebce-99b4-4362-8c18-24d013f8f1c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43ebce-99b4-4362-8c18-24d013f8f1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343B7D-D65D-4580-893D-2A6C734D4E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43ebce-99b4-4362-8c18-24d013f8f1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5DD641-6449-490C-BD32-BA5FBAD6C79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B574D91-F6AE-4CEE-965E-825F8F99E5D6}">
  <ds:schemaRefs>
    <ds:schemaRef ds:uri="http://schemas.microsoft.com/sharepoint/v3/contenttype/forms"/>
  </ds:schemaRefs>
</ds:datastoreItem>
</file>

<file path=docMetadata/LabelInfo.xml><?xml version="1.0" encoding="utf-8"?>
<clbl:labelList xmlns:clbl="http://schemas.microsoft.com/office/2020/mipLabelMetadata">
  <clbl:label id="{eb14b046-24c4-4519-8f26-b89c2159828c}" enabled="0" method="" siteId="{eb14b046-24c4-4519-8f26-b89c215982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Challenge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Annika Bergen</dc:creator>
  <cp:keywords/>
  <dc:description/>
  <cp:lastModifiedBy>Inderrieden, Carla (She/They) (MPCA)</cp:lastModifiedBy>
  <cp:revision/>
  <dcterms:created xsi:type="dcterms:W3CDTF">2022-01-19T16:58:19Z</dcterms:created>
  <dcterms:modified xsi:type="dcterms:W3CDTF">2024-04-18T21:49:40Z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0x0101005E5A7194016E8B4D81AD048098ACAFFC</vt:lpwstr>
  </property>
</Properties>
</file>