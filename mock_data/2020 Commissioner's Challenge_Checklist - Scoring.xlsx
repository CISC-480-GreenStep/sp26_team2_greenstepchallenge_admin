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X:\Agency_Files\ARROW Sustainability Team\Special Projects\Commissioner's Office Sustainability Challenge\"/>
    </mc:Choice>
  </mc:AlternateContent>
  <bookViews>
    <workbookView xWindow="0" yWindow="0" windowWidth="28800" windowHeight="12000" activeTab="1"/>
  </bookViews>
  <sheets>
    <sheet name="Final Scoring Sheet" sheetId="1" r:id="rId1"/>
    <sheet name="Daily Checklist 1" sheetId="2" r:id="rId2"/>
    <sheet name="Daily Checklist 2" sheetId="10" r:id="rId3"/>
    <sheet name="Daily Checklist 3" sheetId="11" r:id="rId4"/>
    <sheet name="Daily Checklist 4" sheetId="12" r:id="rId5"/>
    <sheet name="Daily Checklist 5" sheetId="13" r:id="rId6"/>
    <sheet name="Daily Checklist 6" sheetId="15" r:id="rId7"/>
    <sheet name="Daily Checklist 7" sheetId="16" r:id="rId8"/>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3" i="1" l="1"/>
  <c r="C3" i="16"/>
  <c r="C2" i="16"/>
  <c r="C3" i="15"/>
  <c r="C2" i="15"/>
  <c r="C3" i="13"/>
  <c r="C2" i="13"/>
  <c r="C3" i="12"/>
  <c r="C2" i="12"/>
  <c r="C3" i="11"/>
  <c r="C2" i="11"/>
  <c r="C3" i="10"/>
  <c r="C2" i="10"/>
  <c r="C3" i="2" l="1"/>
  <c r="C2" i="2"/>
  <c r="F33" i="1"/>
</calcChain>
</file>

<file path=xl/sharedStrings.xml><?xml version="1.0" encoding="utf-8"?>
<sst xmlns="http://schemas.openxmlformats.org/spreadsheetml/2006/main" count="674" uniqueCount="145">
  <si>
    <t>#</t>
  </si>
  <si>
    <t>Environmental Benefit</t>
  </si>
  <si>
    <t>In person task? Action throughout the week?</t>
  </si>
  <si>
    <t>Category</t>
  </si>
  <si>
    <t>Behavior/Action</t>
  </si>
  <si>
    <t>Points Available</t>
  </si>
  <si>
    <t>Point Scoring</t>
  </si>
  <si>
    <t>Sustainability Tip</t>
  </si>
  <si>
    <t>In Person</t>
  </si>
  <si>
    <t>Footprint</t>
  </si>
  <si>
    <t>Waste Sort</t>
  </si>
  <si>
    <t>Complete the Water Footprint Calculator</t>
  </si>
  <si>
    <t>Complete a waste sort, determining which items should be recycled, composted, or trashed</t>
  </si>
  <si>
    <t>Best Option</t>
  </si>
  <si>
    <t>Action Throughout the Week</t>
  </si>
  <si>
    <t>Food – No Meat</t>
  </si>
  <si>
    <t>How many days did you not eat meat (red meat, white meat, fish/seafood)?</t>
  </si>
  <si>
    <t>Every day without meat = 1pt</t>
  </si>
  <si>
    <t>Every day of unplugging = 1pt</t>
  </si>
  <si>
    <t>Mobility – General Travel</t>
  </si>
  <si>
    <t>How many days did you not use a personal gas-powered vehicle?</t>
  </si>
  <si>
    <t>Every day without a gas-powered vehicle = 1pt</t>
  </si>
  <si>
    <t>Goods/Services – Single-Use Plastic</t>
  </si>
  <si>
    <t>How many days did you not use single-use food and beverage items (including bottles/cans, containers, service ware, and utensils)?</t>
  </si>
  <si>
    <t>Every day without single-use plastic service ware and utensils = 1pt</t>
  </si>
  <si>
    <t>Good Option</t>
  </si>
  <si>
    <t>Food – Wasted Food</t>
  </si>
  <si>
    <t>How many meals this week did you have food remaining that you didn’t save?
Did you compost or trash that wasted food?</t>
  </si>
  <si>
    <t>Every meal without wasted food = 1pt
Every meal with composted wasted food = .5pt
Every meal with trashed wasted food = -.5pt</t>
  </si>
  <si>
    <t>Every day things were shut down = 1pt
Every day it was shut down in between = 1pt</t>
  </si>
  <si>
    <t>Mobility – Work Travel</t>
  </si>
  <si>
    <t>What % of your work travel this week used alternative transportation (electric vehicles, public transportation, biking/walking)?</t>
  </si>
  <si>
    <t>How many days did you not buy something online?</t>
  </si>
  <si>
    <t>Every day without online shopping = 1pt</t>
  </si>
  <si>
    <t>How many days did you not use single-use bags and/or bring your own reusable bags?</t>
  </si>
  <si>
    <t>Every without paper/plastic bags = 1pt</t>
  </si>
  <si>
    <t>Helpful Option</t>
  </si>
  <si>
    <t>How many days did you not get food delivered, get take-out, or get fast food?</t>
  </si>
  <si>
    <t>Every day without take-out/food delivery = 1pt</t>
  </si>
  <si>
    <t>Did you shut your blinds during the day (summer) or at night (winter)?</t>
  </si>
  <si>
    <t>Every day the blinds were shut = 1pt</t>
  </si>
  <si>
    <t>Mobility – Stairs</t>
  </si>
  <si>
    <t>How many days did you not use the elevator and instead opt for the stairs?</t>
  </si>
  <si>
    <t>Every day without elevator use = 1pt</t>
  </si>
  <si>
    <t>Mobility – Planning</t>
  </si>
  <si>
    <t>How many days did you start by planning your route and activities to minimize travel?</t>
  </si>
  <si>
    <t>5pts = 100% of the time
3pts = &gt;50% of the time
0pts = &lt;50% of the time</t>
  </si>
  <si>
    <t>Goods/Services – Paper Towels</t>
  </si>
  <si>
    <t>What % of the time did  you use only one paper towel to dry your hands in the bathroom?</t>
  </si>
  <si>
    <t>How many days did you not print documents or have someone print documents for you?</t>
  </si>
  <si>
    <t>Every day without printing = 1pt</t>
  </si>
  <si>
    <t>Extra Credit</t>
  </si>
  <si>
    <t>Do you compost at home (backyard, organics collection, drop-off)?</t>
  </si>
  <si>
    <t>Did you help colleagues by shutting the blinds in meeting rooms or in other offices to conserve energy?</t>
  </si>
  <si>
    <t>Did you use zero emissions for transportation every day of the challenge?</t>
  </si>
  <si>
    <t>Of the past 3-5 times you've needed clothing, did you buy secondhand instead of new?</t>
  </si>
  <si>
    <t>When you have to buy something new, do you look for items that are light-weighted for materials or use recycled content to encourage circularity?</t>
  </si>
  <si>
    <t>How many days did you unplug the electronics and appliances you own that draw the most power (i.e. computer and phone chargers, coffee maker, desktop, etc.)?</t>
  </si>
  <si>
    <t>Shelter/Energy - Unplug Electronics</t>
  </si>
  <si>
    <t>How many days did you shut off your computer/monitor at the end of the day and put it to sleep (lock, turn off monitors) when you're away?</t>
  </si>
  <si>
    <t>Shelter/Energy - Shut Off Computer</t>
  </si>
  <si>
    <t>Goods/Services - Online Shopping</t>
  </si>
  <si>
    <t>Goods/Services - Reusable Bags</t>
  </si>
  <si>
    <t>Food - Food Delivery</t>
  </si>
  <si>
    <t>Did you know you can bring your own Tupperware to take leftovers home when you can’t finish your meal out? Keep one in your car and/or bag so you don't need to create demand for the single-use options.</t>
  </si>
  <si>
    <t>How many days did you shut your blinds during the day (summer) or at night (winter)?</t>
  </si>
  <si>
    <t>Shelter/Energy - Blinds</t>
  </si>
  <si>
    <t>Goods/Services - Printing</t>
  </si>
  <si>
    <t>Food - Compost</t>
  </si>
  <si>
    <t>Mobility - Zero Emissions</t>
  </si>
  <si>
    <t>Goods/Services - Secondhand Clothing</t>
  </si>
  <si>
    <t>Goods/Services - Electronic Statements</t>
  </si>
  <si>
    <t>Do you only get online/electronic bank statements and bills?</t>
  </si>
  <si>
    <t>Goods/Services - Materials</t>
  </si>
  <si>
    <r>
      <t xml:space="preserve">Leader with the smallest footprint earns the most points
</t>
    </r>
    <r>
      <rPr>
        <sz val="9"/>
        <color rgb="FF002060"/>
        <rFont val="Calibri"/>
        <family val="2"/>
        <scheme val="minor"/>
      </rPr>
      <t>(smallest = 7pts, 2nd smallest = 6pts, 3rd smallest = 5pts, etc.)</t>
    </r>
  </si>
  <si>
    <t>Points Earned</t>
  </si>
  <si>
    <t>Sustainability Team Member:</t>
  </si>
  <si>
    <t>Kick-Off</t>
  </si>
  <si>
    <t>Wrap-Up</t>
  </si>
  <si>
    <t>Leader with the most improvement will be recognized.</t>
  </si>
  <si>
    <t>Total Points Available:</t>
  </si>
  <si>
    <t>Total Points Earned:</t>
  </si>
  <si>
    <t>Participant:</t>
  </si>
  <si>
    <t>Did you eat meat (red meat, white meat, fish/seafood) today?</t>
  </si>
  <si>
    <t>Did you unplug the electronics and appliances you own that draw the most power (i.e. computer and phone chargers, coffee maker, desktop, etc.) today?</t>
  </si>
  <si>
    <t>Did you use a personal gas-powered vehicle today?</t>
  </si>
  <si>
    <t>Did you use single-use food and beverage items (including bottles/cans, containers, service ware, and utensils) today?</t>
  </si>
  <si>
    <t>Did you buy anything online today?</t>
  </si>
  <si>
    <t>Did you email documents, share on a screen, and/or share via skype/webex to avoid printing today?</t>
  </si>
  <si>
    <t>Did you have to travel for work today?
If yes, what percent of the travel did you use alternative transportation (electric vehicles, public transportation, biking/walking)?</t>
  </si>
  <si>
    <t>Response</t>
  </si>
  <si>
    <t>SUSTAINABILITY CHALLENGE DAILY CHECKLIST</t>
  </si>
  <si>
    <t>Complete the Ecological Footprint Calculator</t>
  </si>
  <si>
    <t>2019 COMMISSIONER'S OFFICE SUSTAINABILITY CHALLENGE</t>
  </si>
  <si>
    <t>Goods/Services - Sustainable Cleaning</t>
  </si>
  <si>
    <t>How many days did you use non-toxic cleaning solutions and a reusable cleaning cloth/device (instead of paper towels, chemicals, etc.)</t>
  </si>
  <si>
    <t>7pts = 100% accuracy
5pts = &gt;50% accuracy
0pts = &lt;50% accuracy</t>
  </si>
  <si>
    <t>Every day of sustinable cleaning = 1pt</t>
  </si>
  <si>
    <t>A person’s ecological footprint includes both personal and societal impacts – individual lifestyle choices (food, mobility, etc.) are important to reducing our environmental impacts; however, systems and infrastructure changes are also needed. As a state environmental agency, the MPCA has the ability and responsibility to influence both.
https://www.footprintcalculator.org/</t>
  </si>
  <si>
    <t>Water footprints are an assessment of direct and virtual water use patterns. Fresh water is vital to life, but as the world’s population grows, so does its use of water.  It takes water – a lot of it – to produce food, to make energy and to manufacture consumer products. This is what’s known as virtual water.
https://www.watercalculator.org/</t>
  </si>
  <si>
    <t>Preventing waste is the best option, but when you have items needing disposal, State statute includes a waste hierarchy indicating which methods have the least environmental impact. Between these three options, it’s better to recycle when possible, then compost, and then finally landfill (trash).</t>
  </si>
  <si>
    <t>Already a vegetarian? Reduce your impact further by reducing the amount of animal products you consume (cheese, eggs, etc.), and choose organic, local options. It’s better for your health and great support for the MN economy!
https://www.nytimes.com/interactive/2019/04/30/dining/climate-change-food-eating-habits.html</t>
  </si>
  <si>
    <t>Back in the day there was a difference between on and off. Now, it’s more complicated and roughly 50 devices and appliances in the typical American household are always drawing power, even when they appear to be off. Turn off power strips, and unplug when not in use!
https://cleantechnica.com/2015/02/18/room-room-guide-ousting-energy-vampires-lurking-home/</t>
  </si>
  <si>
    <t>Nearly half of all air pollution in our state comes from vehicles. So one of the greatest contributions we can all make to improving air quality is to use alternatives to driving a car, especially as a sole occupant. 
Plus, did you know the MPCA is named a Bicycle Friendly Business?
https://www.pca.state.mn.us/bus-bike-and-walk</t>
  </si>
  <si>
    <t>Recyclable and compostable plastics are still single-use and have an environmental footprint – avoid use of these options by bringing your own plates/utensils/napkins to the MPCA cafeteria.
https://lorax.pca.state.mn.us/news/reduce-waste-and-take-your-own-dishes-cafeteria</t>
  </si>
  <si>
    <t>If you didn't clean every day, you may want to change some personal habits - kidding!
MPCA have invested a lot of effort reaching out to community groups about the dangers of harsh, chemical-heavy cleaners. The best part is you can make them yourself and reduce the number of different cleaners needed for all of your household surfaces.
Check out the Hennepin County video on FB for a tutorial: https://www.facebook.com/hennepin/videos/vb.211281525566478/2448986885120718/?type=2&amp;theater</t>
  </si>
  <si>
    <t>The average American wastes 290lbs of food/year – composting is a great option for food scraps, but isn’t a solution to wasted food. Most of the greenhouse gas emissions in the life cycle of our food is from food production, not end-of-life management. Be conscious of how you store food, the size of portions you take, and how you save left-overs to reduce wasted food.
https://www.pca.state.mn.us/simple-ways-cut-food-waste</t>
  </si>
  <si>
    <t>If you're unsure how to navigate alternative transportation, never fear! The MPCA Sustainable Transit Team can provide tips, advice, and input on your best options.
https://lorax.pca.state.mn.us/sustainable-transit-team</t>
  </si>
  <si>
    <t>Emailing agendas and meeting notes is just as helpful, if not more, than using paper with printed versions.
Speaking of more sustainable meetings - are you using the green meeting checklist every time you plan or attend a meeting?
https://lorax.pca.state.mn.us/green-meetings</t>
  </si>
  <si>
    <t>At home, use reusable cloths and/or rags. At work you can air-dry, or if you need help getting down to just one paper towel to start, check out this TED talk for instructions.
https://www.ted.com/talks/joe_smith_how_to_use_a_paper_towel?language=en</t>
  </si>
  <si>
    <t>You are a sustainability rockstar!</t>
  </si>
  <si>
    <t>7pts = 100% of travel
5pts = &gt;50% of travel
0pts = &lt;50% of travel</t>
  </si>
  <si>
    <t>7pts = 100% of the time
5pts = &gt;50% of the time
0pts = &lt;50% of the time</t>
  </si>
  <si>
    <t>Way to be a good friend!</t>
  </si>
  <si>
    <t>Let's be real, it's much easier to manage when everything's online anyways.
Still getting a lot of other junk mail? There are options to help you remove your name off some lists: https://www.pca.state.mn.us/too-much-junk-mail</t>
  </si>
  <si>
    <r>
      <t xml:space="preserve">Don't just buy something that </t>
    </r>
    <r>
      <rPr>
        <b/>
        <sz val="9"/>
        <color rgb="FF002060"/>
        <rFont val="Calibri"/>
        <family val="2"/>
        <scheme val="minor"/>
      </rPr>
      <t>can</t>
    </r>
    <r>
      <rPr>
        <sz val="9"/>
        <color rgb="FF002060"/>
        <rFont val="Calibri"/>
        <family val="2"/>
        <scheme val="minor"/>
      </rPr>
      <t xml:space="preserve"> be recycled - buy something that is made from recycled content to help support markets.
https://www.pca.state.mn.us/featured/reduce-reuse-and-buy-items-made-recycled-materials</t>
    </r>
  </si>
  <si>
    <t>Have you checked out the bag tree set up by the lower-level exit to the parking lot? If you forget a bag and need to borrow one, take it and bring it back the next day. The Sustainability Team will clean and repair any that need fixing.
https://lorax.pca.state.mn.us/news/tote-ally-sustainable-bag-share-station</t>
  </si>
  <si>
    <t>Extra Credit - yes / no</t>
  </si>
  <si>
    <t>Learn more about composting your backyard: https://www.pca.state.mn.us/waste/composting-your-backyard
Learn what can go in your organics bin:
http://www.minneapolismn.gov/solid-waste/organics/acceptable-organics
Check out where organics drop-offs are located:
http://www.mncompostingcouncil.org/organics-collection--drop-off-programs.html</t>
  </si>
  <si>
    <t>Fashion is considered one of the most polluting industries in the world, and recognized for unsafe and exploitative working conditions. Avoid fast fashion! Buy fewer, and more durable clothes and shop at secondhand retailers. Remember - donating clothing is a good alternative to throwing away directly, but don't view that as an opportunity to then go on a new shopping spree! 
https://www.wri.org/blog/2017/07/apparel-industrys-environmental-impact-6-graphics
If you haven't yet, participate in the MPCA clothing swaps or host one in your community!
https://www.wri.org/blog/2017/07/apparel-industrys-environmental-impact-6-graphics</t>
  </si>
  <si>
    <t>Did you use non-toxic cleaning solutions and a reusable cleaning cloth/device (instead of paper towels, chemicals, etc.) when you cleaned today?</t>
  </si>
  <si>
    <t>Taking the stairs has an environmental benefit because it lessens the energy consumption of our building, but it also offers important health benefits by lowering bad cholesterol levels, relieving stress, increase muscle strength, and improving joint health.
http://www.startribune.com/want-a-cheap-way-to-get-healthier-and-develop-a-fabulous-butt-take-the-stairs/506050542/</t>
  </si>
  <si>
    <t>What % of the time did  you use only one paper towel to dry your hands in the bathroom today?</t>
  </si>
  <si>
    <t>Did you start your day today by planning your route and activities to minimize unnecessary or extra travel?</t>
  </si>
  <si>
    <t>Did you use the elevator instead of using the stairs throughout the day today?</t>
  </si>
  <si>
    <t>Did you get food delivered, order take-out, or buy fast food today?</t>
  </si>
  <si>
    <t>Did you use single-use bags for produce, groceries, and/or other shopping today?</t>
  </si>
  <si>
    <t>Did you shut off your computer/monitor at the end of the day?
Did you put your computer to sleep (lock, turn off monitors) when you were away throughout today?</t>
  </si>
  <si>
    <t>Did you have food remaining that you didn’t save at any meals today? 
If yes, how many? Did you compost or trash that wasted food?</t>
  </si>
  <si>
    <t>We all love natural light, especially if it allows to turn off indoor lighting, but when the sun is at its peak it's best to shut the blinds to keep the temperature down. Similarly in the winter, closing the blinds at night helps keeping the heat inside and unnecessarily cooling through exposed windows.
Typical households and workplaces abuse thermostats, keeping it unnecessarily cool in the summer and overheated in the winter. Dress for the season to minimize your use!</t>
  </si>
  <si>
    <t>Water</t>
  </si>
  <si>
    <t>Did you take a shower? If you showered, did you shower for five minutes or less? Did you turn off the water while lathering?</t>
  </si>
  <si>
    <t>Did you wear clothes today that were newly washed or had they been lightly worn?</t>
  </si>
  <si>
    <t>Did you eat meat (red meat, white meat, fish/seafood) today? If yes, did you eat primarily red meat (beef, pork, lamb, etc.), white meat (chicken), or fish/seafood? Was it locally sourced? Y/N/Unsure</t>
  </si>
  <si>
    <t>Did you use a personal gas-powered vehicle today? Did you use a personal gas-powered vehicle, hybrid vehicle or full electric vehicle today? If yes, select which option you used.</t>
  </si>
  <si>
    <t>Did you use single-use food and beverage items (including bottles/cans, containers, service ware, and utensils) for any meals today?</t>
  </si>
  <si>
    <t>Did you use non-toxic cleaning solutions and a reusable cleaning cloth/towel (instead of paper towels, chemicals, etc.) when you cleaned today? Simple baking soda and vinegar solutions or products labeled with the EPA Safer Choice logo are considered green cleaning products.</t>
  </si>
  <si>
    <t xml:space="preserve">Did you have to travel for work today?
If yes, did you travel using alternative transportation (electric vehicles, public transportation, biking/walking)? </t>
  </si>
  <si>
    <t>Did you use a reusable bag for produce, groceries, and/or other shopping today or did you need to take a plastic or paper bag from the retailer?</t>
  </si>
  <si>
    <t>Did you get food delivered, order take-out, or buy fast food today? If so, was that food sourced from local farmers or food coops?</t>
  </si>
  <si>
    <t>When using the restroom, did you use a singe-use paper towel or a reusable towel to dry your hands?</t>
  </si>
  <si>
    <t>Did you use the stairs instead of taking the elevator throughout the day today?</t>
  </si>
  <si>
    <t>Did you brush your teeth today? If so, did you turn off the water while you brushed?</t>
  </si>
  <si>
    <t>Goods/Services - Packaging</t>
  </si>
  <si>
    <t>Did you buy any products today? Did they have any packaging? If so, was the packaging able to be captured in a marketable recycling stream through a curbside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</si>
</sst>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1"/>
      <color theme="0"/>
      <name val="Calibri"/>
      <family val="2"/>
      <scheme val="minor"/>
    </font>
    <font>
      <sz val="11"/>
      <color theme="0"/>
      <name val="Calibri"/>
      <family val="2"/>
      <scheme val="minor"/>
    </font>
    <font>
      <b/>
      <sz val="11"/>
      <color rgb="FF002060"/>
      <name val="Calibri"/>
      <family val="2"/>
      <scheme val="minor"/>
    </font>
    <font>
      <sz val="11"/>
      <color rgb="FF002060"/>
      <name val="Calibri"/>
      <family val="2"/>
      <scheme val="minor"/>
    </font>
    <font>
      <sz val="9"/>
      <color rgb="FF002060"/>
      <name val="Calibri"/>
      <family val="2"/>
      <scheme val="minor"/>
    </font>
    <font>
      <b/>
      <sz val="16"/>
      <color theme="0"/>
      <name val="Calibri"/>
      <family val="2"/>
      <scheme val="minor"/>
    </font>
    <font>
      <sz val="48"/>
      <color rgb="FF002060"/>
      <name val="Calibri"/>
      <family val="2"/>
      <scheme val="minor"/>
    </font>
    <font>
      <sz val="38"/>
      <color rgb="FF002060"/>
      <name val="Calibri"/>
      <family val="2"/>
      <scheme val="minor"/>
    </font>
    <font>
      <b/>
      <sz val="9"/>
      <color rgb="FF002060"/>
      <name val="Calibri"/>
      <family val="2"/>
      <scheme val="minor"/>
    </font>
  </fonts>
  <fills count="9">
    <fill>
      <patternFill patternType="none"/>
    </fill>
    <fill>
      <patternFill patternType="gray125"/>
    </fill>
    <fill>
      <patternFill patternType="solid">
        <fgColor theme="1" tint="0.49998474074526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00206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5">
    <xf numFmtId="0" fontId="0" fillId="0" borderId="0" xfId="0"/>
    <xf numFmtId="0" fontId="0" fillId="8" borderId="0" xfId="0" applyFill="1"/>
    <xf numFmtId="0" fontId="2" fillId="8" borderId="0" xfId="0" applyFont="1" applyFill="1"/>
    <xf numFmtId="0" fontId="1" fillId="8" borderId="0" xfId="0" applyFont="1" applyFill="1" applyAlignment="1"/>
    <xf numFmtId="0" fontId="6" fillId="8" borderId="0" xfId="0" applyFont="1" applyFill="1" applyAlignment="1">
      <alignment horizontal="right"/>
    </xf>
    <xf numFmtId="0" fontId="6" fillId="8" borderId="0" xfId="0" applyFont="1" applyFill="1" applyAlignment="1">
      <alignment horizontal="center"/>
    </xf>
    <xf numFmtId="0" fontId="4" fillId="0" borderId="1" xfId="0" applyFont="1" applyBorder="1" applyAlignment="1">
      <alignment horizontal="center" vertical="top"/>
    </xf>
    <xf numFmtId="0" fontId="4" fillId="2" borderId="1" xfId="0" applyFont="1" applyFill="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5" fillId="0" borderId="1" xfId="0" applyFont="1" applyBorder="1" applyAlignment="1">
      <alignment horizontal="left" vertical="top" wrapText="1"/>
    </xf>
    <xf numFmtId="0" fontId="4" fillId="3" borderId="1" xfId="0" applyFont="1" applyFill="1" applyBorder="1" applyAlignment="1">
      <alignment horizontal="center" vertical="top"/>
    </xf>
    <xf numFmtId="0" fontId="4" fillId="4" borderId="1" xfId="0" applyFont="1" applyFill="1" applyBorder="1" applyAlignment="1">
      <alignment horizontal="center" vertical="top"/>
    </xf>
    <xf numFmtId="0" fontId="4" fillId="5" borderId="1" xfId="0" applyFont="1" applyFill="1" applyBorder="1" applyAlignment="1">
      <alignment horizontal="center" vertical="top"/>
    </xf>
    <xf numFmtId="0" fontId="4" fillId="6" borderId="1" xfId="0" applyFont="1" applyFill="1" applyBorder="1" applyAlignment="1">
      <alignment horizontal="center" vertical="top"/>
    </xf>
    <xf numFmtId="0" fontId="0" fillId="7" borderId="2" xfId="0" applyFill="1" applyBorder="1" applyAlignment="1"/>
    <xf numFmtId="0" fontId="0" fillId="7" borderId="3" xfId="0" applyFill="1" applyBorder="1" applyAlignment="1"/>
    <xf numFmtId="0" fontId="2" fillId="8" borderId="0" xfId="0" applyFont="1" applyFill="1" applyBorder="1"/>
    <xf numFmtId="0" fontId="0" fillId="8" borderId="0" xfId="0" applyFill="1" applyBorder="1"/>
    <xf numFmtId="0" fontId="0" fillId="8" borderId="6" xfId="0" applyFill="1" applyBorder="1"/>
    <xf numFmtId="0" fontId="3" fillId="7" borderId="7"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9" xfId="0" applyFont="1" applyFill="1" applyBorder="1" applyAlignment="1">
      <alignment horizontal="center" vertical="center" wrapText="1"/>
    </xf>
    <xf numFmtId="49" fontId="2" fillId="8" borderId="0" xfId="0" applyNumberFormat="1" applyFont="1" applyFill="1" applyBorder="1"/>
    <xf numFmtId="0" fontId="4" fillId="0" borderId="1" xfId="0" applyFont="1" applyBorder="1" applyAlignment="1">
      <alignment horizontal="center" vertical="top" wrapText="1"/>
    </xf>
    <xf numFmtId="0" fontId="3" fillId="7" borderId="8" xfId="0" applyFont="1" applyFill="1" applyBorder="1" applyAlignment="1">
      <alignment horizontal="center" vertical="center" wrapText="1"/>
    </xf>
    <xf numFmtId="0" fontId="4" fillId="0" borderId="1" xfId="0" applyFont="1" applyFill="1" applyBorder="1" applyAlignment="1">
      <alignment horizontal="center" vertical="top" wrapText="1"/>
    </xf>
    <xf numFmtId="0" fontId="4" fillId="0" borderId="1" xfId="0" applyFont="1" applyFill="1" applyBorder="1" applyAlignment="1">
      <alignment vertical="top" wrapText="1"/>
    </xf>
    <xf numFmtId="0" fontId="5" fillId="0" borderId="1" xfId="0" applyFont="1" applyFill="1" applyBorder="1" applyAlignment="1">
      <alignment horizontal="left" vertical="top" wrapText="1"/>
    </xf>
    <xf numFmtId="0" fontId="1" fillId="8" borderId="5" xfId="0" applyFont="1" applyFill="1" applyBorder="1" applyAlignment="1">
      <alignment horizontal="right"/>
    </xf>
    <xf numFmtId="0" fontId="1" fillId="8" borderId="0" xfId="0" applyFont="1" applyFill="1" applyBorder="1" applyAlignment="1">
      <alignment horizontal="right"/>
    </xf>
    <xf numFmtId="0" fontId="8" fillId="7" borderId="3" xfId="0" applyFont="1" applyFill="1" applyBorder="1" applyAlignment="1">
      <alignment horizontal="center" vertical="center"/>
    </xf>
    <xf numFmtId="0" fontId="8" fillId="7" borderId="4" xfId="0" applyFont="1" applyFill="1" applyBorder="1" applyAlignment="1">
      <alignment horizontal="center" vertical="center"/>
    </xf>
    <xf numFmtId="0" fontId="7" fillId="7" borderId="3" xfId="0" applyFont="1" applyFill="1" applyBorder="1" applyAlignment="1">
      <alignment horizontal="center" vertical="center"/>
    </xf>
    <xf numFmtId="0" fontId="7" fillId="7" borderId="4" xfId="0" applyFont="1" applyFill="1" applyBorder="1" applyAlignment="1">
      <alignment horizontal="center" vertical="center"/>
    </xf>
    <xf numFmtId="0" fontId="3" fillId="7" borderId="8"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4" fillId="0" borderId="1" xfId="0" applyFont="1" applyBorder="1" applyAlignment="1">
      <alignment horizontal="left" vertical="top" wrapText="1"/>
    </xf>
    <xf numFmtId="0" fontId="4" fillId="0" borderId="1" xfId="0" applyFont="1" applyFill="1" applyBorder="1" applyAlignment="1">
      <alignment horizontal="left" vertical="top" wrapText="1"/>
    </xf>
    <xf numFmtId="0" fontId="5" fillId="0" borderId="10" xfId="0" applyFont="1" applyBorder="1" applyAlignment="1">
      <alignment horizontal="left" vertical="top" wrapText="1"/>
    </xf>
    <xf numFmtId="0" fontId="5" fillId="0" borderId="12" xfId="0" applyFont="1" applyBorder="1" applyAlignment="1">
      <alignment horizontal="left" vertical="top" wrapText="1"/>
    </xf>
    <xf numFmtId="0" fontId="5" fillId="0" borderId="11" xfId="0" applyFont="1" applyBorder="1" applyAlignment="1">
      <alignment horizontal="left" vertical="top" wrapText="1"/>
    </xf>
    <xf numFmtId="0" fontId="5" fillId="0" borderId="10" xfId="0" applyFont="1" applyFill="1" applyBorder="1" applyAlignment="1">
      <alignment horizontal="left" vertical="top" wrapText="1"/>
    </xf>
    <xf numFmtId="0" fontId="5" fillId="0" borderId="12" xfId="0" applyFont="1" applyFill="1" applyBorder="1" applyAlignment="1">
      <alignment horizontal="left" vertical="top" wrapText="1"/>
    </xf>
    <xf numFmtId="0" fontId="5" fillId="0" borderId="1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19049</xdr:colOff>
      <xdr:row>0</xdr:row>
      <xdr:rowOff>19049</xdr:rowOff>
    </xdr:from>
    <xdr:to>
      <xdr:col>2</xdr:col>
      <xdr:colOff>1181100</xdr:colOff>
      <xdr:row>0</xdr:row>
      <xdr:rowOff>994908</xdr:rowOff>
    </xdr:to>
    <xdr:pic>
      <xdr:nvPicPr>
        <xdr:cNvPr id="3" name="Picture 2"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 y="19049"/>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2</xdr:col>
      <xdr:colOff>1171576</xdr:colOff>
      <xdr:row>0</xdr:row>
      <xdr:rowOff>994909</xdr:rowOff>
    </xdr:to>
    <xdr:pic>
      <xdr:nvPicPr>
        <xdr:cNvPr id="5" name="Picture 4"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19050"/>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2</xdr:col>
      <xdr:colOff>1171576</xdr:colOff>
      <xdr:row>0</xdr:row>
      <xdr:rowOff>994909</xdr:rowOff>
    </xdr:to>
    <xdr:pic>
      <xdr:nvPicPr>
        <xdr:cNvPr id="2" name="Picture 1"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19050"/>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2</xdr:col>
      <xdr:colOff>1171576</xdr:colOff>
      <xdr:row>0</xdr:row>
      <xdr:rowOff>994909</xdr:rowOff>
    </xdr:to>
    <xdr:pic>
      <xdr:nvPicPr>
        <xdr:cNvPr id="2" name="Picture 1"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19050"/>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2</xdr:col>
      <xdr:colOff>1171576</xdr:colOff>
      <xdr:row>0</xdr:row>
      <xdr:rowOff>994909</xdr:rowOff>
    </xdr:to>
    <xdr:pic>
      <xdr:nvPicPr>
        <xdr:cNvPr id="2" name="Picture 1"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19050"/>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2</xdr:col>
      <xdr:colOff>1171576</xdr:colOff>
      <xdr:row>0</xdr:row>
      <xdr:rowOff>994909</xdr:rowOff>
    </xdr:to>
    <xdr:pic>
      <xdr:nvPicPr>
        <xdr:cNvPr id="2" name="Picture 1"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19050"/>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2</xdr:col>
      <xdr:colOff>1171576</xdr:colOff>
      <xdr:row>0</xdr:row>
      <xdr:rowOff>994909</xdr:rowOff>
    </xdr:to>
    <xdr:pic>
      <xdr:nvPicPr>
        <xdr:cNvPr id="2" name="Picture 1"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19050"/>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2</xdr:col>
      <xdr:colOff>1171576</xdr:colOff>
      <xdr:row>0</xdr:row>
      <xdr:rowOff>994909</xdr:rowOff>
    </xdr:to>
    <xdr:pic>
      <xdr:nvPicPr>
        <xdr:cNvPr id="2" name="Picture 1"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19050"/>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I33"/>
  <sheetViews>
    <sheetView zoomScale="90" zoomScaleNormal="90" workbookViewId="0">
      <selection activeCell="E5" sqref="E5"/>
    </sheetView>
  </sheetViews>
  <sheetFormatPr defaultRowHeight="15" x14ac:dyDescent="0.25"/>
  <cols>
    <col min="2" max="4" width="20.7109375" customWidth="1"/>
    <col min="5" max="5" width="30.7109375" customWidth="1"/>
    <col min="6" max="6" width="20.7109375" customWidth="1"/>
    <col min="7" max="7" width="30.7109375" customWidth="1"/>
    <col min="8" max="8" width="20.7109375" customWidth="1"/>
    <col min="9" max="9" width="60.7109375" customWidth="1"/>
  </cols>
  <sheetData>
    <row r="1" spans="1:9" ht="78.75" customHeight="1" x14ac:dyDescent="0.25">
      <c r="A1" s="15"/>
      <c r="B1" s="16"/>
      <c r="C1" s="16"/>
      <c r="D1" s="31" t="s">
        <v>93</v>
      </c>
      <c r="E1" s="31"/>
      <c r="F1" s="31"/>
      <c r="G1" s="31"/>
      <c r="H1" s="31"/>
      <c r="I1" s="32"/>
    </row>
    <row r="2" spans="1:9" x14ac:dyDescent="0.25">
      <c r="A2" s="29" t="s">
        <v>82</v>
      </c>
      <c r="B2" s="30"/>
      <c r="C2" s="17"/>
      <c r="D2" s="18"/>
      <c r="E2" s="18"/>
      <c r="F2" s="18"/>
      <c r="G2" s="18"/>
      <c r="H2" s="18"/>
      <c r="I2" s="19"/>
    </row>
    <row r="3" spans="1:9" x14ac:dyDescent="0.25">
      <c r="A3" s="29" t="s">
        <v>76</v>
      </c>
      <c r="B3" s="30"/>
      <c r="C3" s="17"/>
      <c r="D3" s="18"/>
      <c r="E3" s="18"/>
      <c r="F3" s="18"/>
      <c r="G3" s="18"/>
      <c r="H3" s="18"/>
      <c r="I3" s="19"/>
    </row>
    <row r="4" spans="1:9" ht="45" x14ac:dyDescent="0.25">
      <c r="A4" s="20" t="s">
        <v>0</v>
      </c>
      <c r="B4" s="21" t="s">
        <v>1</v>
      </c>
      <c r="C4" s="21" t="s">
        <v>2</v>
      </c>
      <c r="D4" s="21" t="s">
        <v>3</v>
      </c>
      <c r="E4" s="21" t="s">
        <v>4</v>
      </c>
      <c r="F4" s="21" t="s">
        <v>5</v>
      </c>
      <c r="G4" s="21" t="s">
        <v>6</v>
      </c>
      <c r="H4" s="21" t="s">
        <v>75</v>
      </c>
      <c r="I4" s="22" t="s">
        <v>7</v>
      </c>
    </row>
    <row r="5" spans="1:9" ht="84" x14ac:dyDescent="0.25">
      <c r="A5" s="6">
        <v>1</v>
      </c>
      <c r="B5" s="7" t="s">
        <v>77</v>
      </c>
      <c r="C5" s="8" t="s">
        <v>8</v>
      </c>
      <c r="D5" s="8" t="s">
        <v>9</v>
      </c>
      <c r="E5" s="9" t="s">
        <v>92</v>
      </c>
      <c r="F5" s="8">
        <v>7</v>
      </c>
      <c r="G5" s="8" t="s">
        <v>74</v>
      </c>
      <c r="H5" s="8"/>
      <c r="I5" s="10" t="s">
        <v>98</v>
      </c>
    </row>
    <row r="6" spans="1:9" ht="84" x14ac:dyDescent="0.25">
      <c r="A6" s="6">
        <v>2</v>
      </c>
      <c r="B6" s="7" t="s">
        <v>77</v>
      </c>
      <c r="C6" s="8" t="s">
        <v>8</v>
      </c>
      <c r="D6" s="8" t="s">
        <v>9</v>
      </c>
      <c r="E6" s="9" t="s">
        <v>11</v>
      </c>
      <c r="F6" s="8">
        <v>7</v>
      </c>
      <c r="G6" s="8" t="s">
        <v>74</v>
      </c>
      <c r="H6" s="8"/>
      <c r="I6" s="10" t="s">
        <v>99</v>
      </c>
    </row>
    <row r="7" spans="1:9" ht="75" x14ac:dyDescent="0.25">
      <c r="A7" s="6">
        <v>3</v>
      </c>
      <c r="B7" s="7" t="s">
        <v>77</v>
      </c>
      <c r="C7" s="8" t="s">
        <v>8</v>
      </c>
      <c r="D7" s="8" t="s">
        <v>10</v>
      </c>
      <c r="E7" s="9" t="s">
        <v>12</v>
      </c>
      <c r="F7" s="8">
        <v>7</v>
      </c>
      <c r="G7" s="8" t="s">
        <v>96</v>
      </c>
      <c r="H7" s="8"/>
      <c r="I7" s="10" t="s">
        <v>100</v>
      </c>
    </row>
    <row r="8" spans="1:9" ht="84" x14ac:dyDescent="0.25">
      <c r="A8" s="6">
        <v>4</v>
      </c>
      <c r="B8" s="11" t="s">
        <v>13</v>
      </c>
      <c r="C8" s="8" t="s">
        <v>14</v>
      </c>
      <c r="D8" s="8" t="s">
        <v>15</v>
      </c>
      <c r="E8" s="9" t="s">
        <v>16</v>
      </c>
      <c r="F8" s="8">
        <v>7</v>
      </c>
      <c r="G8" s="8" t="s">
        <v>17</v>
      </c>
      <c r="H8" s="8"/>
      <c r="I8" s="10" t="s">
        <v>101</v>
      </c>
    </row>
    <row r="9" spans="1:9" ht="90" x14ac:dyDescent="0.25">
      <c r="A9" s="6">
        <v>5</v>
      </c>
      <c r="B9" s="11" t="s">
        <v>13</v>
      </c>
      <c r="C9" s="8" t="s">
        <v>14</v>
      </c>
      <c r="D9" s="8" t="s">
        <v>58</v>
      </c>
      <c r="E9" s="9" t="s">
        <v>57</v>
      </c>
      <c r="F9" s="8">
        <v>7</v>
      </c>
      <c r="G9" s="8" t="s">
        <v>18</v>
      </c>
      <c r="H9" s="8"/>
      <c r="I9" s="10" t="s">
        <v>102</v>
      </c>
    </row>
    <row r="10" spans="1:9" ht="72" x14ac:dyDescent="0.25">
      <c r="A10" s="6">
        <v>6</v>
      </c>
      <c r="B10" s="11" t="s">
        <v>13</v>
      </c>
      <c r="C10" s="8" t="s">
        <v>14</v>
      </c>
      <c r="D10" s="8" t="s">
        <v>19</v>
      </c>
      <c r="E10" s="9" t="s">
        <v>20</v>
      </c>
      <c r="F10" s="8">
        <v>7</v>
      </c>
      <c r="G10" s="8" t="s">
        <v>21</v>
      </c>
      <c r="H10" s="8"/>
      <c r="I10" s="10" t="s">
        <v>103</v>
      </c>
    </row>
    <row r="11" spans="1:9" ht="75" x14ac:dyDescent="0.25">
      <c r="A11" s="6">
        <v>7</v>
      </c>
      <c r="B11" s="11" t="s">
        <v>13</v>
      </c>
      <c r="C11" s="8" t="s">
        <v>14</v>
      </c>
      <c r="D11" s="8" t="s">
        <v>22</v>
      </c>
      <c r="E11" s="9" t="s">
        <v>23</v>
      </c>
      <c r="F11" s="8">
        <v>7</v>
      </c>
      <c r="G11" s="8" t="s">
        <v>24</v>
      </c>
      <c r="H11" s="8"/>
      <c r="I11" s="10" t="s">
        <v>104</v>
      </c>
    </row>
    <row r="12" spans="1:9" ht="120" x14ac:dyDescent="0.25">
      <c r="A12" s="6">
        <v>8</v>
      </c>
      <c r="B12" s="11" t="s">
        <v>13</v>
      </c>
      <c r="C12" s="26" t="s">
        <v>14</v>
      </c>
      <c r="D12" s="26" t="s">
        <v>94</v>
      </c>
      <c r="E12" s="27" t="s">
        <v>95</v>
      </c>
      <c r="F12" s="26">
        <v>7</v>
      </c>
      <c r="G12" s="26" t="s">
        <v>97</v>
      </c>
      <c r="H12" s="26"/>
      <c r="I12" s="28" t="s">
        <v>105</v>
      </c>
    </row>
    <row r="13" spans="1:9" ht="120" x14ac:dyDescent="0.25">
      <c r="A13" s="6">
        <v>9</v>
      </c>
      <c r="B13" s="12" t="s">
        <v>25</v>
      </c>
      <c r="C13" s="8" t="s">
        <v>14</v>
      </c>
      <c r="D13" s="8" t="s">
        <v>26</v>
      </c>
      <c r="E13" s="9" t="s">
        <v>27</v>
      </c>
      <c r="F13" s="8">
        <v>21</v>
      </c>
      <c r="G13" s="8" t="s">
        <v>28</v>
      </c>
      <c r="H13" s="8"/>
      <c r="I13" s="10" t="s">
        <v>106</v>
      </c>
    </row>
    <row r="14" spans="1:9" ht="75" x14ac:dyDescent="0.25">
      <c r="A14" s="6">
        <v>10</v>
      </c>
      <c r="B14" s="12" t="s">
        <v>25</v>
      </c>
      <c r="C14" s="8" t="s">
        <v>14</v>
      </c>
      <c r="D14" s="8" t="s">
        <v>60</v>
      </c>
      <c r="E14" s="9" t="s">
        <v>59</v>
      </c>
      <c r="F14" s="8">
        <v>14</v>
      </c>
      <c r="G14" s="8" t="s">
        <v>29</v>
      </c>
      <c r="H14" s="8"/>
      <c r="I14" s="10"/>
    </row>
    <row r="15" spans="1:9" ht="75" x14ac:dyDescent="0.25">
      <c r="A15" s="6">
        <v>11</v>
      </c>
      <c r="B15" s="12" t="s">
        <v>25</v>
      </c>
      <c r="C15" s="8" t="s">
        <v>14</v>
      </c>
      <c r="D15" s="8" t="s">
        <v>30</v>
      </c>
      <c r="E15" s="9" t="s">
        <v>31</v>
      </c>
      <c r="F15" s="8">
        <v>7</v>
      </c>
      <c r="G15" s="8" t="s">
        <v>111</v>
      </c>
      <c r="H15" s="8"/>
      <c r="I15" s="10" t="s">
        <v>107</v>
      </c>
    </row>
    <row r="16" spans="1:9" ht="30" x14ac:dyDescent="0.25">
      <c r="A16" s="6">
        <v>12</v>
      </c>
      <c r="B16" s="12" t="s">
        <v>25</v>
      </c>
      <c r="C16" s="8" t="s">
        <v>14</v>
      </c>
      <c r="D16" s="8" t="s">
        <v>61</v>
      </c>
      <c r="E16" s="9" t="s">
        <v>32</v>
      </c>
      <c r="F16" s="8">
        <v>7</v>
      </c>
      <c r="G16" s="8" t="s">
        <v>33</v>
      </c>
      <c r="H16" s="8"/>
      <c r="I16" s="10"/>
    </row>
    <row r="17" spans="1:9" ht="84" x14ac:dyDescent="0.25">
      <c r="A17" s="6">
        <v>13</v>
      </c>
      <c r="B17" s="12" t="s">
        <v>25</v>
      </c>
      <c r="C17" s="8" t="s">
        <v>14</v>
      </c>
      <c r="D17" s="8" t="s">
        <v>62</v>
      </c>
      <c r="E17" s="9" t="s">
        <v>34</v>
      </c>
      <c r="F17" s="8">
        <v>7</v>
      </c>
      <c r="G17" s="8" t="s">
        <v>35</v>
      </c>
      <c r="H17" s="8"/>
      <c r="I17" s="10" t="s">
        <v>116</v>
      </c>
    </row>
    <row r="18" spans="1:9" ht="45" x14ac:dyDescent="0.25">
      <c r="A18" s="6">
        <v>14</v>
      </c>
      <c r="B18" s="13" t="s">
        <v>36</v>
      </c>
      <c r="C18" s="8" t="s">
        <v>14</v>
      </c>
      <c r="D18" s="8" t="s">
        <v>63</v>
      </c>
      <c r="E18" s="9" t="s">
        <v>37</v>
      </c>
      <c r="F18" s="8">
        <v>7</v>
      </c>
      <c r="G18" s="8" t="s">
        <v>38</v>
      </c>
      <c r="H18" s="8"/>
      <c r="I18" s="10" t="s">
        <v>64</v>
      </c>
    </row>
    <row r="19" spans="1:9" ht="84" customHeight="1" x14ac:dyDescent="0.25">
      <c r="A19" s="6">
        <v>15</v>
      </c>
      <c r="B19" s="13" t="s">
        <v>36</v>
      </c>
      <c r="C19" s="8" t="s">
        <v>14</v>
      </c>
      <c r="D19" s="8" t="s">
        <v>66</v>
      </c>
      <c r="E19" s="9" t="s">
        <v>65</v>
      </c>
      <c r="F19" s="8">
        <v>7</v>
      </c>
      <c r="G19" s="8" t="s">
        <v>40</v>
      </c>
      <c r="H19" s="8"/>
      <c r="I19" s="10" t="s">
        <v>129</v>
      </c>
    </row>
    <row r="20" spans="1:9" ht="84" x14ac:dyDescent="0.25">
      <c r="A20" s="6">
        <v>16</v>
      </c>
      <c r="B20" s="13" t="s">
        <v>36</v>
      </c>
      <c r="C20" s="8" t="s">
        <v>14</v>
      </c>
      <c r="D20" s="8" t="s">
        <v>41</v>
      </c>
      <c r="E20" s="9" t="s">
        <v>42</v>
      </c>
      <c r="F20" s="8">
        <v>7</v>
      </c>
      <c r="G20" s="8" t="s">
        <v>43</v>
      </c>
      <c r="H20" s="8"/>
      <c r="I20" s="10" t="s">
        <v>121</v>
      </c>
    </row>
    <row r="21" spans="1:9" ht="75" x14ac:dyDescent="0.25">
      <c r="A21" s="6">
        <v>17</v>
      </c>
      <c r="B21" s="13" t="s">
        <v>36</v>
      </c>
      <c r="C21" s="8" t="s">
        <v>14</v>
      </c>
      <c r="D21" s="8" t="s">
        <v>44</v>
      </c>
      <c r="E21" s="9" t="s">
        <v>45</v>
      </c>
      <c r="F21" s="8">
        <v>5</v>
      </c>
      <c r="G21" s="8" t="s">
        <v>46</v>
      </c>
      <c r="H21" s="8"/>
      <c r="I21" s="10"/>
    </row>
    <row r="22" spans="1:9" ht="75" x14ac:dyDescent="0.25">
      <c r="A22" s="6">
        <v>18</v>
      </c>
      <c r="B22" s="13" t="s">
        <v>36</v>
      </c>
      <c r="C22" s="8" t="s">
        <v>14</v>
      </c>
      <c r="D22" s="8" t="s">
        <v>47</v>
      </c>
      <c r="E22" s="9" t="s">
        <v>48</v>
      </c>
      <c r="F22" s="8">
        <v>7</v>
      </c>
      <c r="G22" s="8" t="s">
        <v>112</v>
      </c>
      <c r="H22" s="8"/>
      <c r="I22" s="10" t="s">
        <v>109</v>
      </c>
    </row>
    <row r="23" spans="1:9" ht="72" x14ac:dyDescent="0.25">
      <c r="A23" s="6">
        <v>19</v>
      </c>
      <c r="B23" s="13" t="s">
        <v>36</v>
      </c>
      <c r="C23" s="8" t="s">
        <v>14</v>
      </c>
      <c r="D23" s="8" t="s">
        <v>67</v>
      </c>
      <c r="E23" s="9" t="s">
        <v>49</v>
      </c>
      <c r="F23" s="8">
        <v>7</v>
      </c>
      <c r="G23" s="8" t="s">
        <v>50</v>
      </c>
      <c r="H23" s="8"/>
      <c r="I23" s="10" t="s">
        <v>108</v>
      </c>
    </row>
    <row r="24" spans="1:9" ht="120" x14ac:dyDescent="0.25">
      <c r="A24" s="6">
        <v>20</v>
      </c>
      <c r="B24" s="14" t="s">
        <v>51</v>
      </c>
      <c r="C24" s="8" t="s">
        <v>14</v>
      </c>
      <c r="D24" s="8" t="s">
        <v>68</v>
      </c>
      <c r="E24" s="9" t="s">
        <v>52</v>
      </c>
      <c r="F24" s="8">
        <v>2</v>
      </c>
      <c r="G24" s="8" t="s">
        <v>117</v>
      </c>
      <c r="H24" s="8"/>
      <c r="I24" s="10" t="s">
        <v>118</v>
      </c>
    </row>
    <row r="25" spans="1:9" ht="60" x14ac:dyDescent="0.25">
      <c r="A25" s="6">
        <v>21</v>
      </c>
      <c r="B25" s="14" t="s">
        <v>51</v>
      </c>
      <c r="C25" s="8" t="s">
        <v>14</v>
      </c>
      <c r="D25" s="8" t="s">
        <v>66</v>
      </c>
      <c r="E25" s="9" t="s">
        <v>53</v>
      </c>
      <c r="F25" s="8">
        <v>2</v>
      </c>
      <c r="G25" s="24" t="s">
        <v>117</v>
      </c>
      <c r="H25" s="8"/>
      <c r="I25" s="10" t="s">
        <v>113</v>
      </c>
    </row>
    <row r="26" spans="1:9" ht="45" x14ac:dyDescent="0.25">
      <c r="A26" s="6">
        <v>22</v>
      </c>
      <c r="B26" s="14" t="s">
        <v>51</v>
      </c>
      <c r="C26" s="8" t="s">
        <v>14</v>
      </c>
      <c r="D26" s="8" t="s">
        <v>69</v>
      </c>
      <c r="E26" s="9" t="s">
        <v>54</v>
      </c>
      <c r="F26" s="8">
        <v>2</v>
      </c>
      <c r="G26" s="24" t="s">
        <v>117</v>
      </c>
      <c r="H26" s="8"/>
      <c r="I26" s="10" t="s">
        <v>110</v>
      </c>
    </row>
    <row r="27" spans="1:9" ht="180" x14ac:dyDescent="0.25">
      <c r="A27" s="6">
        <v>23</v>
      </c>
      <c r="B27" s="14" t="s">
        <v>51</v>
      </c>
      <c r="C27" s="8" t="s">
        <v>14</v>
      </c>
      <c r="D27" s="8" t="s">
        <v>70</v>
      </c>
      <c r="E27" s="9" t="s">
        <v>55</v>
      </c>
      <c r="F27" s="8">
        <v>2</v>
      </c>
      <c r="G27" s="24" t="s">
        <v>117</v>
      </c>
      <c r="H27" s="8"/>
      <c r="I27" s="10" t="s">
        <v>119</v>
      </c>
    </row>
    <row r="28" spans="1:9" ht="57" customHeight="1" x14ac:dyDescent="0.25">
      <c r="A28" s="6">
        <v>24</v>
      </c>
      <c r="B28" s="14" t="s">
        <v>51</v>
      </c>
      <c r="C28" s="8" t="s">
        <v>14</v>
      </c>
      <c r="D28" s="8" t="s">
        <v>71</v>
      </c>
      <c r="E28" s="9" t="s">
        <v>72</v>
      </c>
      <c r="F28" s="8">
        <v>2</v>
      </c>
      <c r="G28" s="24" t="s">
        <v>117</v>
      </c>
      <c r="H28" s="8"/>
      <c r="I28" s="10" t="s">
        <v>114</v>
      </c>
    </row>
    <row r="29" spans="1:9" ht="75" x14ac:dyDescent="0.25">
      <c r="A29" s="6">
        <v>25</v>
      </c>
      <c r="B29" s="14" t="s">
        <v>51</v>
      </c>
      <c r="C29" s="8" t="s">
        <v>14</v>
      </c>
      <c r="D29" s="8" t="s">
        <v>73</v>
      </c>
      <c r="E29" s="9" t="s">
        <v>56</v>
      </c>
      <c r="F29" s="8">
        <v>2</v>
      </c>
      <c r="G29" s="24" t="s">
        <v>117</v>
      </c>
      <c r="H29" s="8"/>
      <c r="I29" s="10" t="s">
        <v>115</v>
      </c>
    </row>
    <row r="30" spans="1:9" ht="69" x14ac:dyDescent="0.25">
      <c r="A30" s="6">
        <v>26</v>
      </c>
      <c r="B30" s="7" t="s">
        <v>78</v>
      </c>
      <c r="C30" s="8" t="s">
        <v>8</v>
      </c>
      <c r="D30" s="8" t="s">
        <v>9</v>
      </c>
      <c r="E30" s="9" t="s">
        <v>92</v>
      </c>
      <c r="F30" s="8">
        <v>7</v>
      </c>
      <c r="G30" s="8" t="s">
        <v>74</v>
      </c>
      <c r="H30" s="8"/>
      <c r="I30" s="10" t="s">
        <v>79</v>
      </c>
    </row>
    <row r="31" spans="1:9" ht="69" x14ac:dyDescent="0.25">
      <c r="A31" s="6">
        <v>27</v>
      </c>
      <c r="B31" s="7" t="s">
        <v>78</v>
      </c>
      <c r="C31" s="8" t="s">
        <v>8</v>
      </c>
      <c r="D31" s="8" t="s">
        <v>9</v>
      </c>
      <c r="E31" s="9" t="s">
        <v>11</v>
      </c>
      <c r="F31" s="8">
        <v>7</v>
      </c>
      <c r="G31" s="8" t="s">
        <v>74</v>
      </c>
      <c r="H31" s="8"/>
      <c r="I31" s="10" t="s">
        <v>79</v>
      </c>
    </row>
    <row r="32" spans="1:9" ht="75" x14ac:dyDescent="0.25">
      <c r="A32" s="6">
        <v>28</v>
      </c>
      <c r="B32" s="7" t="s">
        <v>78</v>
      </c>
      <c r="C32" s="8" t="s">
        <v>8</v>
      </c>
      <c r="D32" s="8" t="s">
        <v>10</v>
      </c>
      <c r="E32" s="9" t="s">
        <v>12</v>
      </c>
      <c r="F32" s="24">
        <v>7</v>
      </c>
      <c r="G32" s="24" t="s">
        <v>96</v>
      </c>
      <c r="H32" s="8"/>
      <c r="I32" s="10" t="s">
        <v>79</v>
      </c>
    </row>
    <row r="33" spans="1:9" ht="21" x14ac:dyDescent="0.35">
      <c r="A33" s="3"/>
      <c r="B33" s="3"/>
      <c r="C33" s="2"/>
      <c r="D33" s="1"/>
      <c r="E33" s="4" t="s">
        <v>80</v>
      </c>
      <c r="F33" s="5">
        <f>SUM(F5:F32)</f>
        <v>185</v>
      </c>
      <c r="G33" s="4" t="s">
        <v>81</v>
      </c>
      <c r="H33" s="5">
        <f>SUM(H5:H32)</f>
        <v>0</v>
      </c>
      <c r="I33" s="1"/>
    </row>
  </sheetData>
  <mergeCells count="3">
    <mergeCell ref="A3:B3"/>
    <mergeCell ref="D1:I1"/>
    <mergeCell ref="A2:B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I25"/>
  <sheetViews>
    <sheetView tabSelected="1" zoomScale="90" zoomScaleNormal="90" workbookViewId="0">
      <selection activeCell="G24" sqref="G24:I24"/>
    </sheetView>
  </sheetViews>
  <sheetFormatPr defaultRowHeight="15" x14ac:dyDescent="0.25"/>
  <cols>
    <col min="2" max="4" width="20.7109375" customWidth="1"/>
    <col min="5" max="5" width="30.7109375" customWidth="1"/>
    <col min="6" max="6" width="20.7109375" customWidth="1"/>
    <col min="7" max="7" width="30.7109375" customWidth="1"/>
    <col min="8" max="8" width="20.7109375" customWidth="1"/>
    <col min="9" max="9" width="60.7109375" customWidth="1"/>
  </cols>
  <sheetData>
    <row r="1" spans="1:9" ht="78.75" customHeight="1" x14ac:dyDescent="0.25">
      <c r="A1" s="15"/>
      <c r="B1" s="16"/>
      <c r="C1" s="16"/>
      <c r="D1" s="33" t="s">
        <v>91</v>
      </c>
      <c r="E1" s="33"/>
      <c r="F1" s="33"/>
      <c r="G1" s="33"/>
      <c r="H1" s="33"/>
      <c r="I1" s="34"/>
    </row>
    <row r="2" spans="1:9" x14ac:dyDescent="0.25">
      <c r="A2" s="29" t="s">
        <v>82</v>
      </c>
      <c r="B2" s="30"/>
      <c r="C2" s="23">
        <f>'Final Scoring Sheet'!$C$2</f>
        <v>0</v>
      </c>
      <c r="D2" s="18"/>
      <c r="E2" s="18"/>
      <c r="F2" s="18"/>
      <c r="G2" s="18"/>
      <c r="H2" s="18"/>
      <c r="I2" s="19"/>
    </row>
    <row r="3" spans="1:9" x14ac:dyDescent="0.25">
      <c r="A3" s="29" t="s">
        <v>76</v>
      </c>
      <c r="B3" s="30"/>
      <c r="C3" s="23">
        <f>'Final Scoring Sheet'!$C$3</f>
        <v>0</v>
      </c>
      <c r="D3" s="18"/>
      <c r="E3" s="18"/>
      <c r="F3" s="18"/>
      <c r="G3" s="18"/>
      <c r="H3" s="18"/>
      <c r="I3" s="19"/>
    </row>
    <row r="4" spans="1:9" x14ac:dyDescent="0.25">
      <c r="A4" s="20" t="s">
        <v>0</v>
      </c>
      <c r="B4" s="35" t="s">
        <v>3</v>
      </c>
      <c r="C4" s="35"/>
      <c r="D4" s="35" t="s">
        <v>4</v>
      </c>
      <c r="E4" s="35"/>
      <c r="F4" s="21" t="s">
        <v>90</v>
      </c>
      <c r="G4" s="35" t="s">
        <v>7</v>
      </c>
      <c r="H4" s="35"/>
      <c r="I4" s="36"/>
    </row>
    <row r="5" spans="1:9" ht="66" customHeight="1" x14ac:dyDescent="0.25">
      <c r="A5" s="6">
        <v>1</v>
      </c>
      <c r="B5" s="24" t="s">
        <v>14</v>
      </c>
      <c r="C5" s="24" t="s">
        <v>15</v>
      </c>
      <c r="D5" s="37" t="s">
        <v>133</v>
      </c>
      <c r="E5" s="37"/>
      <c r="F5" s="8"/>
      <c r="G5" s="39" t="s">
        <v>101</v>
      </c>
      <c r="H5" s="40"/>
      <c r="I5" s="41"/>
    </row>
    <row r="6" spans="1:9" ht="48" customHeight="1" x14ac:dyDescent="0.25">
      <c r="A6" s="6">
        <v>2</v>
      </c>
      <c r="B6" s="24" t="s">
        <v>14</v>
      </c>
      <c r="C6" s="24" t="s">
        <v>58</v>
      </c>
      <c r="D6" s="37" t="s">
        <v>84</v>
      </c>
      <c r="E6" s="37"/>
      <c r="F6" s="8"/>
      <c r="G6" s="39" t="s">
        <v>102</v>
      </c>
      <c r="H6" s="40"/>
      <c r="I6" s="41"/>
    </row>
    <row r="7" spans="1:9" ht="58.5" customHeight="1" x14ac:dyDescent="0.25">
      <c r="A7" s="6">
        <v>3</v>
      </c>
      <c r="B7" s="24" t="s">
        <v>14</v>
      </c>
      <c r="C7" s="24" t="s">
        <v>19</v>
      </c>
      <c r="D7" s="37" t="s">
        <v>134</v>
      </c>
      <c r="E7" s="37"/>
      <c r="F7" s="8"/>
      <c r="G7" s="39" t="s">
        <v>103</v>
      </c>
      <c r="H7" s="40"/>
      <c r="I7" s="41"/>
    </row>
    <row r="8" spans="1:9" ht="50.25" customHeight="1" x14ac:dyDescent="0.25">
      <c r="A8" s="6">
        <v>4</v>
      </c>
      <c r="B8" s="24" t="s">
        <v>14</v>
      </c>
      <c r="C8" s="24" t="s">
        <v>22</v>
      </c>
      <c r="D8" s="37" t="s">
        <v>135</v>
      </c>
      <c r="E8" s="37"/>
      <c r="F8" s="8"/>
      <c r="G8" s="39" t="s">
        <v>104</v>
      </c>
      <c r="H8" s="40"/>
      <c r="I8" s="41"/>
    </row>
    <row r="9" spans="1:9" ht="75.75" customHeight="1" x14ac:dyDescent="0.25">
      <c r="A9" s="6">
        <v>5</v>
      </c>
      <c r="B9" s="26" t="s">
        <v>14</v>
      </c>
      <c r="C9" s="26" t="s">
        <v>94</v>
      </c>
      <c r="D9" s="38" t="s">
        <v>136</v>
      </c>
      <c r="E9" s="38"/>
      <c r="F9" s="8"/>
      <c r="G9" s="42" t="s">
        <v>105</v>
      </c>
      <c r="H9" s="43"/>
      <c r="I9" s="44"/>
    </row>
    <row r="10" spans="1:9" ht="64.5" customHeight="1" x14ac:dyDescent="0.25">
      <c r="A10" s="6">
        <v>6</v>
      </c>
      <c r="B10" s="24" t="s">
        <v>14</v>
      </c>
      <c r="C10" s="24" t="s">
        <v>26</v>
      </c>
      <c r="D10" s="37" t="s">
        <v>128</v>
      </c>
      <c r="E10" s="37"/>
      <c r="F10" s="8"/>
      <c r="G10" s="39" t="s">
        <v>106</v>
      </c>
      <c r="H10" s="40"/>
      <c r="I10" s="41"/>
    </row>
    <row r="11" spans="1:9" ht="63" customHeight="1" x14ac:dyDescent="0.25">
      <c r="A11" s="6">
        <v>7</v>
      </c>
      <c r="B11" s="24" t="s">
        <v>14</v>
      </c>
      <c r="C11" s="24" t="s">
        <v>60</v>
      </c>
      <c r="D11" s="37" t="s">
        <v>127</v>
      </c>
      <c r="E11" s="37"/>
      <c r="F11" s="8"/>
      <c r="G11" s="39"/>
      <c r="H11" s="40"/>
      <c r="I11" s="41"/>
    </row>
    <row r="12" spans="1:9" ht="52.5" customHeight="1" x14ac:dyDescent="0.25">
      <c r="A12" s="6">
        <v>8</v>
      </c>
      <c r="B12" s="24" t="s">
        <v>14</v>
      </c>
      <c r="C12" s="24" t="s">
        <v>30</v>
      </c>
      <c r="D12" s="37" t="s">
        <v>137</v>
      </c>
      <c r="E12" s="37"/>
      <c r="F12" s="8"/>
      <c r="G12" s="39" t="s">
        <v>107</v>
      </c>
      <c r="H12" s="40"/>
      <c r="I12" s="41"/>
    </row>
    <row r="13" spans="1:9" ht="30" customHeight="1" x14ac:dyDescent="0.25">
      <c r="A13" s="6">
        <v>9</v>
      </c>
      <c r="B13" s="24" t="s">
        <v>14</v>
      </c>
      <c r="C13" s="24" t="s">
        <v>61</v>
      </c>
      <c r="D13" s="37" t="s">
        <v>87</v>
      </c>
      <c r="E13" s="37"/>
      <c r="F13" s="8"/>
      <c r="G13" s="39"/>
      <c r="H13" s="40"/>
      <c r="I13" s="41"/>
    </row>
    <row r="14" spans="1:9" ht="50.25" customHeight="1" x14ac:dyDescent="0.25">
      <c r="A14" s="6">
        <v>10</v>
      </c>
      <c r="B14" s="24" t="s">
        <v>14</v>
      </c>
      <c r="C14" s="24" t="s">
        <v>62</v>
      </c>
      <c r="D14" s="37" t="s">
        <v>138</v>
      </c>
      <c r="E14" s="37"/>
      <c r="F14" s="8"/>
      <c r="G14" s="39" t="s">
        <v>116</v>
      </c>
      <c r="H14" s="40"/>
      <c r="I14" s="41"/>
    </row>
    <row r="15" spans="1:9" ht="51" customHeight="1" x14ac:dyDescent="0.25">
      <c r="A15" s="6">
        <v>11</v>
      </c>
      <c r="B15" s="24" t="s">
        <v>14</v>
      </c>
      <c r="C15" s="24" t="s">
        <v>63</v>
      </c>
      <c r="D15" s="37" t="s">
        <v>139</v>
      </c>
      <c r="E15" s="37"/>
      <c r="F15" s="8"/>
      <c r="G15" s="39" t="s">
        <v>64</v>
      </c>
      <c r="H15" s="40"/>
      <c r="I15" s="41"/>
    </row>
    <row r="16" spans="1:9" ht="30.75" customHeight="1" x14ac:dyDescent="0.25">
      <c r="A16" s="6">
        <v>12</v>
      </c>
      <c r="B16" s="24" t="s">
        <v>14</v>
      </c>
      <c r="C16" s="24" t="s">
        <v>66</v>
      </c>
      <c r="D16" s="37" t="s">
        <v>39</v>
      </c>
      <c r="E16" s="37"/>
      <c r="F16" s="8"/>
      <c r="G16" s="39" t="s">
        <v>129</v>
      </c>
      <c r="H16" s="40"/>
      <c r="I16" s="41"/>
    </row>
    <row r="17" spans="1:9" ht="32.25" customHeight="1" x14ac:dyDescent="0.25">
      <c r="A17" s="6">
        <v>13</v>
      </c>
      <c r="B17" s="24" t="s">
        <v>14</v>
      </c>
      <c r="C17" s="24" t="s">
        <v>41</v>
      </c>
      <c r="D17" s="37" t="s">
        <v>141</v>
      </c>
      <c r="E17" s="37"/>
      <c r="F17" s="8"/>
      <c r="G17" s="39" t="s">
        <v>121</v>
      </c>
      <c r="H17" s="40"/>
      <c r="I17" s="41"/>
    </row>
    <row r="18" spans="1:9" ht="31.5" customHeight="1" x14ac:dyDescent="0.25">
      <c r="A18" s="6">
        <v>14</v>
      </c>
      <c r="B18" s="24" t="s">
        <v>14</v>
      </c>
      <c r="C18" s="24" t="s">
        <v>44</v>
      </c>
      <c r="D18" s="37" t="s">
        <v>123</v>
      </c>
      <c r="E18" s="37"/>
      <c r="F18" s="8"/>
      <c r="G18" s="39"/>
      <c r="H18" s="40"/>
      <c r="I18" s="41"/>
    </row>
    <row r="19" spans="1:9" ht="54" customHeight="1" x14ac:dyDescent="0.25">
      <c r="A19" s="6">
        <v>15</v>
      </c>
      <c r="B19" s="24" t="s">
        <v>14</v>
      </c>
      <c r="C19" s="24" t="s">
        <v>47</v>
      </c>
      <c r="D19" s="37" t="s">
        <v>140</v>
      </c>
      <c r="E19" s="37"/>
      <c r="F19" s="8"/>
      <c r="G19" s="39" t="s">
        <v>109</v>
      </c>
      <c r="H19" s="40"/>
      <c r="I19" s="41"/>
    </row>
    <row r="20" spans="1:9" ht="49.5" customHeight="1" x14ac:dyDescent="0.25">
      <c r="A20" s="6">
        <v>16</v>
      </c>
      <c r="B20" s="24" t="s">
        <v>14</v>
      </c>
      <c r="C20" s="24" t="s">
        <v>67</v>
      </c>
      <c r="D20" s="37" t="s">
        <v>88</v>
      </c>
      <c r="E20" s="37"/>
      <c r="F20" s="8"/>
      <c r="G20" s="39" t="s">
        <v>108</v>
      </c>
      <c r="H20" s="40"/>
      <c r="I20" s="41"/>
    </row>
    <row r="21" spans="1:9" ht="49.5" customHeight="1" x14ac:dyDescent="0.25">
      <c r="A21" s="6">
        <v>17</v>
      </c>
      <c r="B21" s="24" t="s">
        <v>14</v>
      </c>
      <c r="C21" s="24" t="s">
        <v>130</v>
      </c>
      <c r="D21" s="37" t="s">
        <v>131</v>
      </c>
      <c r="E21" s="37"/>
      <c r="F21" s="24"/>
      <c r="G21" s="39"/>
      <c r="H21" s="40"/>
      <c r="I21" s="41"/>
    </row>
    <row r="22" spans="1:9" ht="49.5" customHeight="1" x14ac:dyDescent="0.25">
      <c r="A22" s="6">
        <v>18</v>
      </c>
      <c r="B22" s="24" t="s">
        <v>14</v>
      </c>
      <c r="C22" s="24" t="s">
        <v>130</v>
      </c>
      <c r="D22" s="37" t="s">
        <v>132</v>
      </c>
      <c r="E22" s="37"/>
      <c r="F22" s="24"/>
      <c r="G22" s="39"/>
      <c r="H22" s="40"/>
      <c r="I22" s="41"/>
    </row>
    <row r="23" spans="1:9" ht="49.5" customHeight="1" x14ac:dyDescent="0.25">
      <c r="A23" s="6">
        <v>19</v>
      </c>
      <c r="B23" s="24" t="s">
        <v>14</v>
      </c>
      <c r="C23" s="24" t="s">
        <v>130</v>
      </c>
      <c r="D23" s="37" t="s">
        <v>142</v>
      </c>
      <c r="E23" s="37"/>
      <c r="F23" s="24"/>
      <c r="G23" s="39"/>
      <c r="H23" s="40"/>
      <c r="I23" s="41"/>
    </row>
    <row r="24" spans="1:9" ht="65.25" customHeight="1" x14ac:dyDescent="0.25">
      <c r="A24" s="6">
        <v>20</v>
      </c>
      <c r="B24" s="24" t="s">
        <v>14</v>
      </c>
      <c r="C24" s="24" t="s">
        <v>143</v>
      </c>
      <c r="D24" s="37" t="s">
        <v>144</v>
      </c>
      <c r="E24" s="37"/>
      <c r="F24" s="24"/>
      <c r="G24" s="39"/>
      <c r="H24" s="40"/>
      <c r="I24" s="41"/>
    </row>
    <row r="25" spans="1:9" ht="21" x14ac:dyDescent="0.35">
      <c r="A25" s="3"/>
      <c r="B25" s="3"/>
      <c r="C25" s="2"/>
      <c r="D25" s="1"/>
      <c r="E25" s="4"/>
      <c r="F25" s="5"/>
      <c r="G25" s="4"/>
      <c r="H25" s="5"/>
      <c r="I25" s="1"/>
    </row>
  </sheetData>
  <mergeCells count="46">
    <mergeCell ref="D24:E24"/>
    <mergeCell ref="G24:I24"/>
    <mergeCell ref="D21:E21"/>
    <mergeCell ref="G21:I21"/>
    <mergeCell ref="D22:E22"/>
    <mergeCell ref="G22:I22"/>
    <mergeCell ref="D23:E23"/>
    <mergeCell ref="G23:I23"/>
    <mergeCell ref="G17:I17"/>
    <mergeCell ref="G18:I18"/>
    <mergeCell ref="G19:I19"/>
    <mergeCell ref="G20:I20"/>
    <mergeCell ref="G11:I11"/>
    <mergeCell ref="G12:I12"/>
    <mergeCell ref="G13:I13"/>
    <mergeCell ref="G14:I14"/>
    <mergeCell ref="G15:I15"/>
    <mergeCell ref="G16:I16"/>
    <mergeCell ref="G10:I10"/>
    <mergeCell ref="D12:E12"/>
    <mergeCell ref="D13:E13"/>
    <mergeCell ref="D14:E14"/>
    <mergeCell ref="D15:E15"/>
    <mergeCell ref="D10:E10"/>
    <mergeCell ref="D11:E11"/>
    <mergeCell ref="G5:I5"/>
    <mergeCell ref="G6:I6"/>
    <mergeCell ref="G7:I7"/>
    <mergeCell ref="G8:I8"/>
    <mergeCell ref="G9:I9"/>
    <mergeCell ref="D18:E18"/>
    <mergeCell ref="D19:E19"/>
    <mergeCell ref="D20:E20"/>
    <mergeCell ref="D16:E16"/>
    <mergeCell ref="D17:E17"/>
    <mergeCell ref="D5:E5"/>
    <mergeCell ref="D6:E6"/>
    <mergeCell ref="D7:E7"/>
    <mergeCell ref="D8:E8"/>
    <mergeCell ref="D9:E9"/>
    <mergeCell ref="D1:I1"/>
    <mergeCell ref="A2:B2"/>
    <mergeCell ref="A3:B3"/>
    <mergeCell ref="B4:C4"/>
    <mergeCell ref="D4:E4"/>
    <mergeCell ref="G4:I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I21"/>
  <sheetViews>
    <sheetView zoomScale="90" zoomScaleNormal="90" workbookViewId="0">
      <selection activeCell="B17" sqref="B17"/>
    </sheetView>
  </sheetViews>
  <sheetFormatPr defaultRowHeight="15" x14ac:dyDescent="0.25"/>
  <cols>
    <col min="2" max="4" width="20.7109375" customWidth="1"/>
    <col min="5" max="5" width="30.7109375" customWidth="1"/>
    <col min="6" max="6" width="20.7109375" customWidth="1"/>
    <col min="7" max="7" width="30.7109375" customWidth="1"/>
    <col min="8" max="8" width="20.7109375" customWidth="1"/>
    <col min="9" max="9" width="60.7109375" customWidth="1"/>
  </cols>
  <sheetData>
    <row r="1" spans="1:9" ht="78.75" customHeight="1" x14ac:dyDescent="0.25">
      <c r="A1" s="15"/>
      <c r="B1" s="16"/>
      <c r="C1" s="16"/>
      <c r="D1" s="33" t="s">
        <v>91</v>
      </c>
      <c r="E1" s="33"/>
      <c r="F1" s="33"/>
      <c r="G1" s="33"/>
      <c r="H1" s="33"/>
      <c r="I1" s="34"/>
    </row>
    <row r="2" spans="1:9" x14ac:dyDescent="0.25">
      <c r="A2" s="29" t="s">
        <v>82</v>
      </c>
      <c r="B2" s="30"/>
      <c r="C2" s="23">
        <f>'Final Scoring Sheet'!$C$2</f>
        <v>0</v>
      </c>
      <c r="D2" s="18"/>
      <c r="E2" s="18"/>
      <c r="F2" s="18"/>
      <c r="G2" s="18"/>
      <c r="H2" s="18"/>
      <c r="I2" s="19"/>
    </row>
    <row r="3" spans="1:9" x14ac:dyDescent="0.25">
      <c r="A3" s="29" t="s">
        <v>76</v>
      </c>
      <c r="B3" s="30"/>
      <c r="C3" s="23">
        <f>'Final Scoring Sheet'!$C$3</f>
        <v>0</v>
      </c>
      <c r="D3" s="18"/>
      <c r="E3" s="18"/>
      <c r="F3" s="18"/>
      <c r="G3" s="18"/>
      <c r="H3" s="18"/>
      <c r="I3" s="19"/>
    </row>
    <row r="4" spans="1:9" x14ac:dyDescent="0.25">
      <c r="A4" s="20" t="s">
        <v>0</v>
      </c>
      <c r="B4" s="35" t="s">
        <v>3</v>
      </c>
      <c r="C4" s="35"/>
      <c r="D4" s="35" t="s">
        <v>4</v>
      </c>
      <c r="E4" s="35"/>
      <c r="F4" s="25" t="s">
        <v>90</v>
      </c>
      <c r="G4" s="35" t="s">
        <v>7</v>
      </c>
      <c r="H4" s="35"/>
      <c r="I4" s="36"/>
    </row>
    <row r="5" spans="1:9" ht="50.25" customHeight="1" x14ac:dyDescent="0.25">
      <c r="A5" s="6">
        <v>1</v>
      </c>
      <c r="B5" s="24" t="s">
        <v>14</v>
      </c>
      <c r="C5" s="24" t="s">
        <v>15</v>
      </c>
      <c r="D5" s="37" t="s">
        <v>83</v>
      </c>
      <c r="E5" s="37"/>
      <c r="F5" s="24"/>
      <c r="G5" s="39" t="s">
        <v>101</v>
      </c>
      <c r="H5" s="40"/>
      <c r="I5" s="41"/>
    </row>
    <row r="6" spans="1:9" ht="48" customHeight="1" x14ac:dyDescent="0.25">
      <c r="A6" s="6">
        <v>2</v>
      </c>
      <c r="B6" s="24" t="s">
        <v>14</v>
      </c>
      <c r="C6" s="24" t="s">
        <v>58</v>
      </c>
      <c r="D6" s="37" t="s">
        <v>84</v>
      </c>
      <c r="E6" s="37"/>
      <c r="F6" s="24"/>
      <c r="G6" s="39" t="s">
        <v>102</v>
      </c>
      <c r="H6" s="40"/>
      <c r="I6" s="41"/>
    </row>
    <row r="7" spans="1:9" ht="58.5" customHeight="1" x14ac:dyDescent="0.25">
      <c r="A7" s="6">
        <v>3</v>
      </c>
      <c r="B7" s="24" t="s">
        <v>14</v>
      </c>
      <c r="C7" s="24" t="s">
        <v>19</v>
      </c>
      <c r="D7" s="37" t="s">
        <v>85</v>
      </c>
      <c r="E7" s="37"/>
      <c r="F7" s="24"/>
      <c r="G7" s="39" t="s">
        <v>103</v>
      </c>
      <c r="H7" s="40"/>
      <c r="I7" s="41"/>
    </row>
    <row r="8" spans="1:9" ht="50.25" customHeight="1" x14ac:dyDescent="0.25">
      <c r="A8" s="6">
        <v>4</v>
      </c>
      <c r="B8" s="24" t="s">
        <v>14</v>
      </c>
      <c r="C8" s="24" t="s">
        <v>22</v>
      </c>
      <c r="D8" s="37" t="s">
        <v>86</v>
      </c>
      <c r="E8" s="37"/>
      <c r="F8" s="24"/>
      <c r="G8" s="39" t="s">
        <v>104</v>
      </c>
      <c r="H8" s="40"/>
      <c r="I8" s="41"/>
    </row>
    <row r="9" spans="1:9" ht="74.25" customHeight="1" x14ac:dyDescent="0.25">
      <c r="A9" s="6">
        <v>5</v>
      </c>
      <c r="B9" s="26" t="s">
        <v>14</v>
      </c>
      <c r="C9" s="26" t="s">
        <v>94</v>
      </c>
      <c r="D9" s="38" t="s">
        <v>120</v>
      </c>
      <c r="E9" s="38"/>
      <c r="F9" s="24"/>
      <c r="G9" s="42" t="s">
        <v>105</v>
      </c>
      <c r="H9" s="43"/>
      <c r="I9" s="44"/>
    </row>
    <row r="10" spans="1:9" ht="64.5" customHeight="1" x14ac:dyDescent="0.25">
      <c r="A10" s="6">
        <v>6</v>
      </c>
      <c r="B10" s="24" t="s">
        <v>14</v>
      </c>
      <c r="C10" s="24" t="s">
        <v>26</v>
      </c>
      <c r="D10" s="37" t="s">
        <v>128</v>
      </c>
      <c r="E10" s="37"/>
      <c r="F10" s="24"/>
      <c r="G10" s="39" t="s">
        <v>106</v>
      </c>
      <c r="H10" s="40"/>
      <c r="I10" s="41"/>
    </row>
    <row r="11" spans="1:9" ht="63" customHeight="1" x14ac:dyDescent="0.25">
      <c r="A11" s="6">
        <v>7</v>
      </c>
      <c r="B11" s="24" t="s">
        <v>14</v>
      </c>
      <c r="C11" s="24" t="s">
        <v>60</v>
      </c>
      <c r="D11" s="37" t="s">
        <v>127</v>
      </c>
      <c r="E11" s="37"/>
      <c r="F11" s="24"/>
      <c r="G11" s="39"/>
      <c r="H11" s="40"/>
      <c r="I11" s="41"/>
    </row>
    <row r="12" spans="1:9" ht="60.75" customHeight="1" x14ac:dyDescent="0.25">
      <c r="A12" s="6">
        <v>8</v>
      </c>
      <c r="B12" s="24" t="s">
        <v>14</v>
      </c>
      <c r="C12" s="24" t="s">
        <v>30</v>
      </c>
      <c r="D12" s="37" t="s">
        <v>89</v>
      </c>
      <c r="E12" s="37"/>
      <c r="F12" s="24"/>
      <c r="G12" s="39" t="s">
        <v>107</v>
      </c>
      <c r="H12" s="40"/>
      <c r="I12" s="41"/>
    </row>
    <row r="13" spans="1:9" ht="30" customHeight="1" x14ac:dyDescent="0.25">
      <c r="A13" s="6">
        <v>9</v>
      </c>
      <c r="B13" s="24" t="s">
        <v>14</v>
      </c>
      <c r="C13" s="24" t="s">
        <v>61</v>
      </c>
      <c r="D13" s="37" t="s">
        <v>87</v>
      </c>
      <c r="E13" s="37"/>
      <c r="F13" s="24"/>
      <c r="G13" s="39"/>
      <c r="H13" s="40"/>
      <c r="I13" s="41"/>
    </row>
    <row r="14" spans="1:9" ht="51.75" customHeight="1" x14ac:dyDescent="0.25">
      <c r="A14" s="6">
        <v>10</v>
      </c>
      <c r="B14" s="24" t="s">
        <v>14</v>
      </c>
      <c r="C14" s="24" t="s">
        <v>62</v>
      </c>
      <c r="D14" s="37" t="s">
        <v>126</v>
      </c>
      <c r="E14" s="37"/>
      <c r="F14" s="24"/>
      <c r="G14" s="39" t="s">
        <v>116</v>
      </c>
      <c r="H14" s="40"/>
      <c r="I14" s="41"/>
    </row>
    <row r="15" spans="1:9" ht="33" customHeight="1" x14ac:dyDescent="0.25">
      <c r="A15" s="6">
        <v>11</v>
      </c>
      <c r="B15" s="24" t="s">
        <v>14</v>
      </c>
      <c r="C15" s="24" t="s">
        <v>63</v>
      </c>
      <c r="D15" s="37" t="s">
        <v>125</v>
      </c>
      <c r="E15" s="37"/>
      <c r="F15" s="24"/>
      <c r="G15" s="39" t="s">
        <v>64</v>
      </c>
      <c r="H15" s="40"/>
      <c r="I15" s="41"/>
    </row>
    <row r="16" spans="1:9" ht="60.75" customHeight="1" x14ac:dyDescent="0.25">
      <c r="A16" s="6">
        <v>12</v>
      </c>
      <c r="B16" s="24" t="s">
        <v>14</v>
      </c>
      <c r="C16" s="24" t="s">
        <v>66</v>
      </c>
      <c r="D16" s="37" t="s">
        <v>39</v>
      </c>
      <c r="E16" s="37"/>
      <c r="F16" s="24"/>
      <c r="G16" s="39" t="s">
        <v>129</v>
      </c>
      <c r="H16" s="40"/>
      <c r="I16" s="41"/>
    </row>
    <row r="17" spans="1:9" ht="52.5" customHeight="1" x14ac:dyDescent="0.25">
      <c r="A17" s="6">
        <v>13</v>
      </c>
      <c r="B17" s="24" t="s">
        <v>14</v>
      </c>
      <c r="C17" s="24" t="s">
        <v>41</v>
      </c>
      <c r="D17" s="37" t="s">
        <v>124</v>
      </c>
      <c r="E17" s="37"/>
      <c r="F17" s="24"/>
      <c r="G17" s="39" t="s">
        <v>121</v>
      </c>
      <c r="H17" s="40"/>
      <c r="I17" s="41"/>
    </row>
    <row r="18" spans="1:9" ht="31.5" customHeight="1" x14ac:dyDescent="0.25">
      <c r="A18" s="6">
        <v>14</v>
      </c>
      <c r="B18" s="24" t="s">
        <v>14</v>
      </c>
      <c r="C18" s="24" t="s">
        <v>44</v>
      </c>
      <c r="D18" s="37" t="s">
        <v>123</v>
      </c>
      <c r="E18" s="37"/>
      <c r="F18" s="24"/>
      <c r="G18" s="39"/>
      <c r="H18" s="40"/>
      <c r="I18" s="41"/>
    </row>
    <row r="19" spans="1:9" ht="54" customHeight="1" x14ac:dyDescent="0.25">
      <c r="A19" s="6">
        <v>15</v>
      </c>
      <c r="B19" s="24" t="s">
        <v>14</v>
      </c>
      <c r="C19" s="24" t="s">
        <v>47</v>
      </c>
      <c r="D19" s="37" t="s">
        <v>122</v>
      </c>
      <c r="E19" s="37"/>
      <c r="F19" s="24"/>
      <c r="G19" s="39" t="s">
        <v>109</v>
      </c>
      <c r="H19" s="40"/>
      <c r="I19" s="41"/>
    </row>
    <row r="20" spans="1:9" ht="49.5" customHeight="1" x14ac:dyDescent="0.25">
      <c r="A20" s="6">
        <v>16</v>
      </c>
      <c r="B20" s="24" t="s">
        <v>14</v>
      </c>
      <c r="C20" s="24" t="s">
        <v>67</v>
      </c>
      <c r="D20" s="37" t="s">
        <v>88</v>
      </c>
      <c r="E20" s="37"/>
      <c r="F20" s="24"/>
      <c r="G20" s="39" t="s">
        <v>108</v>
      </c>
      <c r="H20" s="40"/>
      <c r="I20" s="41"/>
    </row>
    <row r="21" spans="1:9" ht="21" x14ac:dyDescent="0.35">
      <c r="A21" s="3"/>
      <c r="B21" s="3"/>
      <c r="C21" s="2"/>
      <c r="D21" s="1"/>
      <c r="E21" s="4"/>
      <c r="F21" s="5"/>
      <c r="G21" s="4"/>
      <c r="H21" s="5"/>
      <c r="I21" s="1"/>
    </row>
  </sheetData>
  <mergeCells count="38">
    <mergeCell ref="D1:I1"/>
    <mergeCell ref="A2:B2"/>
    <mergeCell ref="A3:B3"/>
    <mergeCell ref="B4:C4"/>
    <mergeCell ref="D4:E4"/>
    <mergeCell ref="G4:I4"/>
    <mergeCell ref="D5:E5"/>
    <mergeCell ref="G5:I5"/>
    <mergeCell ref="D6:E6"/>
    <mergeCell ref="G6:I6"/>
    <mergeCell ref="D7:E7"/>
    <mergeCell ref="G7:I7"/>
    <mergeCell ref="D8:E8"/>
    <mergeCell ref="G8:I8"/>
    <mergeCell ref="D9:E9"/>
    <mergeCell ref="G9:I9"/>
    <mergeCell ref="D10:E10"/>
    <mergeCell ref="G10:I10"/>
    <mergeCell ref="D11:E11"/>
    <mergeCell ref="G11:I11"/>
    <mergeCell ref="D12:E12"/>
    <mergeCell ref="G12:I12"/>
    <mergeCell ref="D13:E13"/>
    <mergeCell ref="G13:I13"/>
    <mergeCell ref="D14:E14"/>
    <mergeCell ref="G14:I14"/>
    <mergeCell ref="D15:E15"/>
    <mergeCell ref="G15:I15"/>
    <mergeCell ref="D16:E16"/>
    <mergeCell ref="G16:I16"/>
    <mergeCell ref="D20:E20"/>
    <mergeCell ref="G20:I20"/>
    <mergeCell ref="D17:E17"/>
    <mergeCell ref="G17:I17"/>
    <mergeCell ref="D18:E18"/>
    <mergeCell ref="G18:I18"/>
    <mergeCell ref="D19:E19"/>
    <mergeCell ref="G19:I1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I21"/>
  <sheetViews>
    <sheetView zoomScale="90" zoomScaleNormal="90" workbookViewId="0">
      <selection activeCell="F17" sqref="F17"/>
    </sheetView>
  </sheetViews>
  <sheetFormatPr defaultRowHeight="15" x14ac:dyDescent="0.25"/>
  <cols>
    <col min="2" max="4" width="20.7109375" customWidth="1"/>
    <col min="5" max="5" width="30.7109375" customWidth="1"/>
    <col min="6" max="6" width="20.7109375" customWidth="1"/>
    <col min="7" max="7" width="30.7109375" customWidth="1"/>
    <col min="8" max="8" width="20.7109375" customWidth="1"/>
    <col min="9" max="9" width="60.7109375" customWidth="1"/>
  </cols>
  <sheetData>
    <row r="1" spans="1:9" ht="78.75" customHeight="1" x14ac:dyDescent="0.25">
      <c r="A1" s="15"/>
      <c r="B1" s="16"/>
      <c r="C1" s="16"/>
      <c r="D1" s="33" t="s">
        <v>91</v>
      </c>
      <c r="E1" s="33"/>
      <c r="F1" s="33"/>
      <c r="G1" s="33"/>
      <c r="H1" s="33"/>
      <c r="I1" s="34"/>
    </row>
    <row r="2" spans="1:9" x14ac:dyDescent="0.25">
      <c r="A2" s="29" t="s">
        <v>82</v>
      </c>
      <c r="B2" s="30"/>
      <c r="C2" s="23">
        <f>'Final Scoring Sheet'!$C$2</f>
        <v>0</v>
      </c>
      <c r="D2" s="18"/>
      <c r="E2" s="18"/>
      <c r="F2" s="18"/>
      <c r="G2" s="18"/>
      <c r="H2" s="18"/>
      <c r="I2" s="19"/>
    </row>
    <row r="3" spans="1:9" x14ac:dyDescent="0.25">
      <c r="A3" s="29" t="s">
        <v>76</v>
      </c>
      <c r="B3" s="30"/>
      <c r="C3" s="23">
        <f>'Final Scoring Sheet'!$C$3</f>
        <v>0</v>
      </c>
      <c r="D3" s="18"/>
      <c r="E3" s="18"/>
      <c r="F3" s="18"/>
      <c r="G3" s="18"/>
      <c r="H3" s="18"/>
      <c r="I3" s="19"/>
    </row>
    <row r="4" spans="1:9" x14ac:dyDescent="0.25">
      <c r="A4" s="20" t="s">
        <v>0</v>
      </c>
      <c r="B4" s="35" t="s">
        <v>3</v>
      </c>
      <c r="C4" s="35"/>
      <c r="D4" s="35" t="s">
        <v>4</v>
      </c>
      <c r="E4" s="35"/>
      <c r="F4" s="25" t="s">
        <v>90</v>
      </c>
      <c r="G4" s="35" t="s">
        <v>7</v>
      </c>
      <c r="H4" s="35"/>
      <c r="I4" s="36"/>
    </row>
    <row r="5" spans="1:9" ht="50.25" customHeight="1" x14ac:dyDescent="0.25">
      <c r="A5" s="6">
        <v>1</v>
      </c>
      <c r="B5" s="24" t="s">
        <v>14</v>
      </c>
      <c r="C5" s="24" t="s">
        <v>15</v>
      </c>
      <c r="D5" s="37" t="s">
        <v>83</v>
      </c>
      <c r="E5" s="37"/>
      <c r="F5" s="24"/>
      <c r="G5" s="39" t="s">
        <v>101</v>
      </c>
      <c r="H5" s="40"/>
      <c r="I5" s="41"/>
    </row>
    <row r="6" spans="1:9" ht="48" customHeight="1" x14ac:dyDescent="0.25">
      <c r="A6" s="6">
        <v>2</v>
      </c>
      <c r="B6" s="24" t="s">
        <v>14</v>
      </c>
      <c r="C6" s="24" t="s">
        <v>58</v>
      </c>
      <c r="D6" s="37" t="s">
        <v>84</v>
      </c>
      <c r="E6" s="37"/>
      <c r="F6" s="24"/>
      <c r="G6" s="39" t="s">
        <v>102</v>
      </c>
      <c r="H6" s="40"/>
      <c r="I6" s="41"/>
    </row>
    <row r="7" spans="1:9" ht="58.5" customHeight="1" x14ac:dyDescent="0.25">
      <c r="A7" s="6">
        <v>3</v>
      </c>
      <c r="B7" s="24" t="s">
        <v>14</v>
      </c>
      <c r="C7" s="24" t="s">
        <v>19</v>
      </c>
      <c r="D7" s="37" t="s">
        <v>85</v>
      </c>
      <c r="E7" s="37"/>
      <c r="F7" s="24"/>
      <c r="G7" s="39" t="s">
        <v>103</v>
      </c>
      <c r="H7" s="40"/>
      <c r="I7" s="41"/>
    </row>
    <row r="8" spans="1:9" ht="50.25" customHeight="1" x14ac:dyDescent="0.25">
      <c r="A8" s="6">
        <v>4</v>
      </c>
      <c r="B8" s="24" t="s">
        <v>14</v>
      </c>
      <c r="C8" s="24" t="s">
        <v>22</v>
      </c>
      <c r="D8" s="37" t="s">
        <v>86</v>
      </c>
      <c r="E8" s="37"/>
      <c r="F8" s="24"/>
      <c r="G8" s="39" t="s">
        <v>104</v>
      </c>
      <c r="H8" s="40"/>
      <c r="I8" s="41"/>
    </row>
    <row r="9" spans="1:9" ht="74.25" customHeight="1" x14ac:dyDescent="0.25">
      <c r="A9" s="6">
        <v>5</v>
      </c>
      <c r="B9" s="26" t="s">
        <v>14</v>
      </c>
      <c r="C9" s="26" t="s">
        <v>94</v>
      </c>
      <c r="D9" s="38" t="s">
        <v>120</v>
      </c>
      <c r="E9" s="38"/>
      <c r="F9" s="24"/>
      <c r="G9" s="42" t="s">
        <v>105</v>
      </c>
      <c r="H9" s="43"/>
      <c r="I9" s="44"/>
    </row>
    <row r="10" spans="1:9" ht="64.5" customHeight="1" x14ac:dyDescent="0.25">
      <c r="A10" s="6">
        <v>6</v>
      </c>
      <c r="B10" s="24" t="s">
        <v>14</v>
      </c>
      <c r="C10" s="24" t="s">
        <v>26</v>
      </c>
      <c r="D10" s="37" t="s">
        <v>128</v>
      </c>
      <c r="E10" s="37"/>
      <c r="F10" s="24"/>
      <c r="G10" s="39" t="s">
        <v>106</v>
      </c>
      <c r="H10" s="40"/>
      <c r="I10" s="41"/>
    </row>
    <row r="11" spans="1:9" ht="63" customHeight="1" x14ac:dyDescent="0.25">
      <c r="A11" s="6">
        <v>7</v>
      </c>
      <c r="B11" s="24" t="s">
        <v>14</v>
      </c>
      <c r="C11" s="24" t="s">
        <v>60</v>
      </c>
      <c r="D11" s="37" t="s">
        <v>127</v>
      </c>
      <c r="E11" s="37"/>
      <c r="F11" s="24"/>
      <c r="G11" s="39"/>
      <c r="H11" s="40"/>
      <c r="I11" s="41"/>
    </row>
    <row r="12" spans="1:9" ht="60.75" customHeight="1" x14ac:dyDescent="0.25">
      <c r="A12" s="6">
        <v>8</v>
      </c>
      <c r="B12" s="24" t="s">
        <v>14</v>
      </c>
      <c r="C12" s="24" t="s">
        <v>30</v>
      </c>
      <c r="D12" s="37" t="s">
        <v>89</v>
      </c>
      <c r="E12" s="37"/>
      <c r="F12" s="24"/>
      <c r="G12" s="39" t="s">
        <v>107</v>
      </c>
      <c r="H12" s="40"/>
      <c r="I12" s="41"/>
    </row>
    <row r="13" spans="1:9" ht="30" customHeight="1" x14ac:dyDescent="0.25">
      <c r="A13" s="6">
        <v>9</v>
      </c>
      <c r="B13" s="24" t="s">
        <v>14</v>
      </c>
      <c r="C13" s="24" t="s">
        <v>61</v>
      </c>
      <c r="D13" s="37" t="s">
        <v>87</v>
      </c>
      <c r="E13" s="37"/>
      <c r="F13" s="24"/>
      <c r="G13" s="39"/>
      <c r="H13" s="40"/>
      <c r="I13" s="41"/>
    </row>
    <row r="14" spans="1:9" ht="51.75" customHeight="1" x14ac:dyDescent="0.25">
      <c r="A14" s="6">
        <v>10</v>
      </c>
      <c r="B14" s="24" t="s">
        <v>14</v>
      </c>
      <c r="C14" s="24" t="s">
        <v>62</v>
      </c>
      <c r="D14" s="37" t="s">
        <v>126</v>
      </c>
      <c r="E14" s="37"/>
      <c r="F14" s="24"/>
      <c r="G14" s="39" t="s">
        <v>116</v>
      </c>
      <c r="H14" s="40"/>
      <c r="I14" s="41"/>
    </row>
    <row r="15" spans="1:9" ht="33" customHeight="1" x14ac:dyDescent="0.25">
      <c r="A15" s="6">
        <v>11</v>
      </c>
      <c r="B15" s="24" t="s">
        <v>14</v>
      </c>
      <c r="C15" s="24" t="s">
        <v>63</v>
      </c>
      <c r="D15" s="37" t="s">
        <v>125</v>
      </c>
      <c r="E15" s="37"/>
      <c r="F15" s="24"/>
      <c r="G15" s="39" t="s">
        <v>64</v>
      </c>
      <c r="H15" s="40"/>
      <c r="I15" s="41"/>
    </row>
    <row r="16" spans="1:9" ht="61.5" customHeight="1" x14ac:dyDescent="0.25">
      <c r="A16" s="6">
        <v>12</v>
      </c>
      <c r="B16" s="24" t="s">
        <v>14</v>
      </c>
      <c r="C16" s="24" t="s">
        <v>66</v>
      </c>
      <c r="D16" s="37" t="s">
        <v>39</v>
      </c>
      <c r="E16" s="37"/>
      <c r="F16" s="24"/>
      <c r="G16" s="39" t="s">
        <v>129</v>
      </c>
      <c r="H16" s="40"/>
      <c r="I16" s="41"/>
    </row>
    <row r="17" spans="1:9" ht="52.5" customHeight="1" x14ac:dyDescent="0.25">
      <c r="A17" s="6">
        <v>13</v>
      </c>
      <c r="B17" s="24" t="s">
        <v>14</v>
      </c>
      <c r="C17" s="24" t="s">
        <v>41</v>
      </c>
      <c r="D17" s="37" t="s">
        <v>124</v>
      </c>
      <c r="E17" s="37"/>
      <c r="F17" s="24"/>
      <c r="G17" s="39" t="s">
        <v>121</v>
      </c>
      <c r="H17" s="40"/>
      <c r="I17" s="41"/>
    </row>
    <row r="18" spans="1:9" ht="31.5" customHeight="1" x14ac:dyDescent="0.25">
      <c r="A18" s="6">
        <v>14</v>
      </c>
      <c r="B18" s="24" t="s">
        <v>14</v>
      </c>
      <c r="C18" s="24" t="s">
        <v>44</v>
      </c>
      <c r="D18" s="37" t="s">
        <v>123</v>
      </c>
      <c r="E18" s="37"/>
      <c r="F18" s="24"/>
      <c r="G18" s="39"/>
      <c r="H18" s="40"/>
      <c r="I18" s="41"/>
    </row>
    <row r="19" spans="1:9" ht="54" customHeight="1" x14ac:dyDescent="0.25">
      <c r="A19" s="6">
        <v>15</v>
      </c>
      <c r="B19" s="24" t="s">
        <v>14</v>
      </c>
      <c r="C19" s="24" t="s">
        <v>47</v>
      </c>
      <c r="D19" s="37" t="s">
        <v>122</v>
      </c>
      <c r="E19" s="37"/>
      <c r="F19" s="24"/>
      <c r="G19" s="39" t="s">
        <v>109</v>
      </c>
      <c r="H19" s="40"/>
      <c r="I19" s="41"/>
    </row>
    <row r="20" spans="1:9" ht="49.5" customHeight="1" x14ac:dyDescent="0.25">
      <c r="A20" s="6">
        <v>16</v>
      </c>
      <c r="B20" s="24" t="s">
        <v>14</v>
      </c>
      <c r="C20" s="24" t="s">
        <v>67</v>
      </c>
      <c r="D20" s="37" t="s">
        <v>88</v>
      </c>
      <c r="E20" s="37"/>
      <c r="F20" s="24"/>
      <c r="G20" s="39" t="s">
        <v>108</v>
      </c>
      <c r="H20" s="40"/>
      <c r="I20" s="41"/>
    </row>
    <row r="21" spans="1:9" ht="21" x14ac:dyDescent="0.35">
      <c r="A21" s="3"/>
      <c r="B21" s="3"/>
      <c r="C21" s="2"/>
      <c r="D21" s="1"/>
      <c r="E21" s="4"/>
      <c r="F21" s="5"/>
      <c r="G21" s="4"/>
      <c r="H21" s="5"/>
      <c r="I21" s="1"/>
    </row>
  </sheetData>
  <mergeCells count="38">
    <mergeCell ref="D1:I1"/>
    <mergeCell ref="A2:B2"/>
    <mergeCell ref="A3:B3"/>
    <mergeCell ref="B4:C4"/>
    <mergeCell ref="D4:E4"/>
    <mergeCell ref="G4:I4"/>
    <mergeCell ref="D5:E5"/>
    <mergeCell ref="G5:I5"/>
    <mergeCell ref="D6:E6"/>
    <mergeCell ref="G6:I6"/>
    <mergeCell ref="D7:E7"/>
    <mergeCell ref="G7:I7"/>
    <mergeCell ref="D8:E8"/>
    <mergeCell ref="G8:I8"/>
    <mergeCell ref="D9:E9"/>
    <mergeCell ref="G9:I9"/>
    <mergeCell ref="D10:E10"/>
    <mergeCell ref="G10:I10"/>
    <mergeCell ref="D11:E11"/>
    <mergeCell ref="G11:I11"/>
    <mergeCell ref="D12:E12"/>
    <mergeCell ref="G12:I12"/>
    <mergeCell ref="D13:E13"/>
    <mergeCell ref="G13:I13"/>
    <mergeCell ref="D14:E14"/>
    <mergeCell ref="G14:I14"/>
    <mergeCell ref="D15:E15"/>
    <mergeCell ref="G15:I15"/>
    <mergeCell ref="D16:E16"/>
    <mergeCell ref="G16:I16"/>
    <mergeCell ref="D20:E20"/>
    <mergeCell ref="G20:I20"/>
    <mergeCell ref="D17:E17"/>
    <mergeCell ref="G17:I17"/>
    <mergeCell ref="D18:E18"/>
    <mergeCell ref="G18:I18"/>
    <mergeCell ref="D19:E19"/>
    <mergeCell ref="G19:I1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I21"/>
  <sheetViews>
    <sheetView zoomScale="90" zoomScaleNormal="90" workbookViewId="0">
      <selection activeCell="F17" sqref="F17"/>
    </sheetView>
  </sheetViews>
  <sheetFormatPr defaultRowHeight="15" x14ac:dyDescent="0.25"/>
  <cols>
    <col min="2" max="4" width="20.7109375" customWidth="1"/>
    <col min="5" max="5" width="30.7109375" customWidth="1"/>
    <col min="6" max="6" width="20.7109375" customWidth="1"/>
    <col min="7" max="7" width="30.7109375" customWidth="1"/>
    <col min="8" max="8" width="20.7109375" customWidth="1"/>
    <col min="9" max="9" width="60.7109375" customWidth="1"/>
  </cols>
  <sheetData>
    <row r="1" spans="1:9" ht="78.75" customHeight="1" x14ac:dyDescent="0.25">
      <c r="A1" s="15"/>
      <c r="B1" s="16"/>
      <c r="C1" s="16"/>
      <c r="D1" s="33" t="s">
        <v>91</v>
      </c>
      <c r="E1" s="33"/>
      <c r="F1" s="33"/>
      <c r="G1" s="33"/>
      <c r="H1" s="33"/>
      <c r="I1" s="34"/>
    </row>
    <row r="2" spans="1:9" x14ac:dyDescent="0.25">
      <c r="A2" s="29" t="s">
        <v>82</v>
      </c>
      <c r="B2" s="30"/>
      <c r="C2" s="23">
        <f>'Final Scoring Sheet'!$C$2</f>
        <v>0</v>
      </c>
      <c r="D2" s="18"/>
      <c r="E2" s="18"/>
      <c r="F2" s="18"/>
      <c r="G2" s="18"/>
      <c r="H2" s="18"/>
      <c r="I2" s="19"/>
    </row>
    <row r="3" spans="1:9" x14ac:dyDescent="0.25">
      <c r="A3" s="29" t="s">
        <v>76</v>
      </c>
      <c r="B3" s="30"/>
      <c r="C3" s="23">
        <f>'Final Scoring Sheet'!$C$3</f>
        <v>0</v>
      </c>
      <c r="D3" s="18"/>
      <c r="E3" s="18"/>
      <c r="F3" s="18"/>
      <c r="G3" s="18"/>
      <c r="H3" s="18"/>
      <c r="I3" s="19"/>
    </row>
    <row r="4" spans="1:9" x14ac:dyDescent="0.25">
      <c r="A4" s="20" t="s">
        <v>0</v>
      </c>
      <c r="B4" s="35" t="s">
        <v>3</v>
      </c>
      <c r="C4" s="35"/>
      <c r="D4" s="35" t="s">
        <v>4</v>
      </c>
      <c r="E4" s="35"/>
      <c r="F4" s="25" t="s">
        <v>90</v>
      </c>
      <c r="G4" s="35" t="s">
        <v>7</v>
      </c>
      <c r="H4" s="35"/>
      <c r="I4" s="36"/>
    </row>
    <row r="5" spans="1:9" ht="50.25" customHeight="1" x14ac:dyDescent="0.25">
      <c r="A5" s="6">
        <v>1</v>
      </c>
      <c r="B5" s="24" t="s">
        <v>14</v>
      </c>
      <c r="C5" s="24" t="s">
        <v>15</v>
      </c>
      <c r="D5" s="37" t="s">
        <v>83</v>
      </c>
      <c r="E5" s="37"/>
      <c r="F5" s="24"/>
      <c r="G5" s="39" t="s">
        <v>101</v>
      </c>
      <c r="H5" s="40"/>
      <c r="I5" s="41"/>
    </row>
    <row r="6" spans="1:9" ht="48" customHeight="1" x14ac:dyDescent="0.25">
      <c r="A6" s="6">
        <v>2</v>
      </c>
      <c r="B6" s="24" t="s">
        <v>14</v>
      </c>
      <c r="C6" s="24" t="s">
        <v>58</v>
      </c>
      <c r="D6" s="37" t="s">
        <v>84</v>
      </c>
      <c r="E6" s="37"/>
      <c r="F6" s="24"/>
      <c r="G6" s="39" t="s">
        <v>102</v>
      </c>
      <c r="H6" s="40"/>
      <c r="I6" s="41"/>
    </row>
    <row r="7" spans="1:9" ht="58.5" customHeight="1" x14ac:dyDescent="0.25">
      <c r="A7" s="6">
        <v>3</v>
      </c>
      <c r="B7" s="24" t="s">
        <v>14</v>
      </c>
      <c r="C7" s="24" t="s">
        <v>19</v>
      </c>
      <c r="D7" s="37" t="s">
        <v>85</v>
      </c>
      <c r="E7" s="37"/>
      <c r="F7" s="24"/>
      <c r="G7" s="39" t="s">
        <v>103</v>
      </c>
      <c r="H7" s="40"/>
      <c r="I7" s="41"/>
    </row>
    <row r="8" spans="1:9" ht="50.25" customHeight="1" x14ac:dyDescent="0.25">
      <c r="A8" s="6">
        <v>4</v>
      </c>
      <c r="B8" s="24" t="s">
        <v>14</v>
      </c>
      <c r="C8" s="24" t="s">
        <v>22</v>
      </c>
      <c r="D8" s="37" t="s">
        <v>86</v>
      </c>
      <c r="E8" s="37"/>
      <c r="F8" s="24"/>
      <c r="G8" s="39" t="s">
        <v>104</v>
      </c>
      <c r="H8" s="40"/>
      <c r="I8" s="41"/>
    </row>
    <row r="9" spans="1:9" ht="74.25" customHeight="1" x14ac:dyDescent="0.25">
      <c r="A9" s="6">
        <v>5</v>
      </c>
      <c r="B9" s="26" t="s">
        <v>14</v>
      </c>
      <c r="C9" s="26" t="s">
        <v>94</v>
      </c>
      <c r="D9" s="38" t="s">
        <v>120</v>
      </c>
      <c r="E9" s="38"/>
      <c r="F9" s="24"/>
      <c r="G9" s="42" t="s">
        <v>105</v>
      </c>
      <c r="H9" s="43"/>
      <c r="I9" s="44"/>
    </row>
    <row r="10" spans="1:9" ht="64.5" customHeight="1" x14ac:dyDescent="0.25">
      <c r="A10" s="6">
        <v>6</v>
      </c>
      <c r="B10" s="24" t="s">
        <v>14</v>
      </c>
      <c r="C10" s="24" t="s">
        <v>26</v>
      </c>
      <c r="D10" s="37" t="s">
        <v>128</v>
      </c>
      <c r="E10" s="37"/>
      <c r="F10" s="24"/>
      <c r="G10" s="39" t="s">
        <v>106</v>
      </c>
      <c r="H10" s="40"/>
      <c r="I10" s="41"/>
    </row>
    <row r="11" spans="1:9" ht="63" customHeight="1" x14ac:dyDescent="0.25">
      <c r="A11" s="6">
        <v>7</v>
      </c>
      <c r="B11" s="24" t="s">
        <v>14</v>
      </c>
      <c r="C11" s="24" t="s">
        <v>60</v>
      </c>
      <c r="D11" s="37" t="s">
        <v>127</v>
      </c>
      <c r="E11" s="37"/>
      <c r="F11" s="24"/>
      <c r="G11" s="39"/>
      <c r="H11" s="40"/>
      <c r="I11" s="41"/>
    </row>
    <row r="12" spans="1:9" ht="60.75" customHeight="1" x14ac:dyDescent="0.25">
      <c r="A12" s="6">
        <v>8</v>
      </c>
      <c r="B12" s="24" t="s">
        <v>14</v>
      </c>
      <c r="C12" s="24" t="s">
        <v>30</v>
      </c>
      <c r="D12" s="37" t="s">
        <v>89</v>
      </c>
      <c r="E12" s="37"/>
      <c r="F12" s="24"/>
      <c r="G12" s="39" t="s">
        <v>107</v>
      </c>
      <c r="H12" s="40"/>
      <c r="I12" s="41"/>
    </row>
    <row r="13" spans="1:9" ht="30" customHeight="1" x14ac:dyDescent="0.25">
      <c r="A13" s="6">
        <v>9</v>
      </c>
      <c r="B13" s="24" t="s">
        <v>14</v>
      </c>
      <c r="C13" s="24" t="s">
        <v>61</v>
      </c>
      <c r="D13" s="37" t="s">
        <v>87</v>
      </c>
      <c r="E13" s="37"/>
      <c r="F13" s="24"/>
      <c r="G13" s="39"/>
      <c r="H13" s="40"/>
      <c r="I13" s="41"/>
    </row>
    <row r="14" spans="1:9" ht="51.75" customHeight="1" x14ac:dyDescent="0.25">
      <c r="A14" s="6">
        <v>10</v>
      </c>
      <c r="B14" s="24" t="s">
        <v>14</v>
      </c>
      <c r="C14" s="24" t="s">
        <v>62</v>
      </c>
      <c r="D14" s="37" t="s">
        <v>126</v>
      </c>
      <c r="E14" s="37"/>
      <c r="F14" s="24"/>
      <c r="G14" s="39" t="s">
        <v>116</v>
      </c>
      <c r="H14" s="40"/>
      <c r="I14" s="41"/>
    </row>
    <row r="15" spans="1:9" ht="33" customHeight="1" x14ac:dyDescent="0.25">
      <c r="A15" s="6">
        <v>11</v>
      </c>
      <c r="B15" s="24" t="s">
        <v>14</v>
      </c>
      <c r="C15" s="24" t="s">
        <v>63</v>
      </c>
      <c r="D15" s="37" t="s">
        <v>125</v>
      </c>
      <c r="E15" s="37"/>
      <c r="F15" s="24"/>
      <c r="G15" s="39" t="s">
        <v>64</v>
      </c>
      <c r="H15" s="40"/>
      <c r="I15" s="41"/>
    </row>
    <row r="16" spans="1:9" ht="64.5" customHeight="1" x14ac:dyDescent="0.25">
      <c r="A16" s="6">
        <v>12</v>
      </c>
      <c r="B16" s="24" t="s">
        <v>14</v>
      </c>
      <c r="C16" s="24" t="s">
        <v>66</v>
      </c>
      <c r="D16" s="37" t="s">
        <v>39</v>
      </c>
      <c r="E16" s="37"/>
      <c r="F16" s="24"/>
      <c r="G16" s="39" t="s">
        <v>129</v>
      </c>
      <c r="H16" s="40"/>
      <c r="I16" s="41"/>
    </row>
    <row r="17" spans="1:9" ht="52.5" customHeight="1" x14ac:dyDescent="0.25">
      <c r="A17" s="6">
        <v>13</v>
      </c>
      <c r="B17" s="24" t="s">
        <v>14</v>
      </c>
      <c r="C17" s="24" t="s">
        <v>41</v>
      </c>
      <c r="D17" s="37" t="s">
        <v>124</v>
      </c>
      <c r="E17" s="37"/>
      <c r="F17" s="24"/>
      <c r="G17" s="39" t="s">
        <v>121</v>
      </c>
      <c r="H17" s="40"/>
      <c r="I17" s="41"/>
    </row>
    <row r="18" spans="1:9" ht="31.5" customHeight="1" x14ac:dyDescent="0.25">
      <c r="A18" s="6">
        <v>14</v>
      </c>
      <c r="B18" s="24" t="s">
        <v>14</v>
      </c>
      <c r="C18" s="24" t="s">
        <v>44</v>
      </c>
      <c r="D18" s="37" t="s">
        <v>123</v>
      </c>
      <c r="E18" s="37"/>
      <c r="F18" s="24"/>
      <c r="G18" s="39"/>
      <c r="H18" s="40"/>
      <c r="I18" s="41"/>
    </row>
    <row r="19" spans="1:9" ht="54" customHeight="1" x14ac:dyDescent="0.25">
      <c r="A19" s="6">
        <v>15</v>
      </c>
      <c r="B19" s="24" t="s">
        <v>14</v>
      </c>
      <c r="C19" s="24" t="s">
        <v>47</v>
      </c>
      <c r="D19" s="37" t="s">
        <v>122</v>
      </c>
      <c r="E19" s="37"/>
      <c r="F19" s="24"/>
      <c r="G19" s="39" t="s">
        <v>109</v>
      </c>
      <c r="H19" s="40"/>
      <c r="I19" s="41"/>
    </row>
    <row r="20" spans="1:9" ht="49.5" customHeight="1" x14ac:dyDescent="0.25">
      <c r="A20" s="6">
        <v>16</v>
      </c>
      <c r="B20" s="24" t="s">
        <v>14</v>
      </c>
      <c r="C20" s="24" t="s">
        <v>67</v>
      </c>
      <c r="D20" s="37" t="s">
        <v>88</v>
      </c>
      <c r="E20" s="37"/>
      <c r="F20" s="24"/>
      <c r="G20" s="39" t="s">
        <v>108</v>
      </c>
      <c r="H20" s="40"/>
      <c r="I20" s="41"/>
    </row>
    <row r="21" spans="1:9" ht="21" x14ac:dyDescent="0.35">
      <c r="A21" s="3"/>
      <c r="B21" s="3"/>
      <c r="C21" s="2"/>
      <c r="D21" s="1"/>
      <c r="E21" s="4"/>
      <c r="F21" s="5"/>
      <c r="G21" s="4"/>
      <c r="H21" s="5"/>
      <c r="I21" s="1"/>
    </row>
  </sheetData>
  <mergeCells count="38">
    <mergeCell ref="D1:I1"/>
    <mergeCell ref="A2:B2"/>
    <mergeCell ref="A3:B3"/>
    <mergeCell ref="B4:C4"/>
    <mergeCell ref="D4:E4"/>
    <mergeCell ref="G4:I4"/>
    <mergeCell ref="D5:E5"/>
    <mergeCell ref="G5:I5"/>
    <mergeCell ref="D6:E6"/>
    <mergeCell ref="G6:I6"/>
    <mergeCell ref="D7:E7"/>
    <mergeCell ref="G7:I7"/>
    <mergeCell ref="D8:E8"/>
    <mergeCell ref="G8:I8"/>
    <mergeCell ref="D9:E9"/>
    <mergeCell ref="G9:I9"/>
    <mergeCell ref="D10:E10"/>
    <mergeCell ref="G10:I10"/>
    <mergeCell ref="D11:E11"/>
    <mergeCell ref="G11:I11"/>
    <mergeCell ref="D12:E12"/>
    <mergeCell ref="G12:I12"/>
    <mergeCell ref="D13:E13"/>
    <mergeCell ref="G13:I13"/>
    <mergeCell ref="D14:E14"/>
    <mergeCell ref="G14:I14"/>
    <mergeCell ref="D15:E15"/>
    <mergeCell ref="G15:I15"/>
    <mergeCell ref="D16:E16"/>
    <mergeCell ref="G16:I16"/>
    <mergeCell ref="D20:E20"/>
    <mergeCell ref="G20:I20"/>
    <mergeCell ref="D17:E17"/>
    <mergeCell ref="G17:I17"/>
    <mergeCell ref="D18:E18"/>
    <mergeCell ref="G18:I18"/>
    <mergeCell ref="D19:E19"/>
    <mergeCell ref="G19:I1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I21"/>
  <sheetViews>
    <sheetView topLeftCell="A7" zoomScale="90" zoomScaleNormal="90" workbookViewId="0">
      <selection activeCell="F17" sqref="F17"/>
    </sheetView>
  </sheetViews>
  <sheetFormatPr defaultRowHeight="15" x14ac:dyDescent="0.25"/>
  <cols>
    <col min="2" max="4" width="20.7109375" customWidth="1"/>
    <col min="5" max="5" width="30.7109375" customWidth="1"/>
    <col min="6" max="6" width="20.7109375" customWidth="1"/>
    <col min="7" max="7" width="30.7109375" customWidth="1"/>
    <col min="8" max="8" width="20.7109375" customWidth="1"/>
    <col min="9" max="9" width="60.7109375" customWidth="1"/>
  </cols>
  <sheetData>
    <row r="1" spans="1:9" ht="78.75" customHeight="1" x14ac:dyDescent="0.25">
      <c r="A1" s="15"/>
      <c r="B1" s="16"/>
      <c r="C1" s="16"/>
      <c r="D1" s="33" t="s">
        <v>91</v>
      </c>
      <c r="E1" s="33"/>
      <c r="F1" s="33"/>
      <c r="G1" s="33"/>
      <c r="H1" s="33"/>
      <c r="I1" s="34"/>
    </row>
    <row r="2" spans="1:9" x14ac:dyDescent="0.25">
      <c r="A2" s="29" t="s">
        <v>82</v>
      </c>
      <c r="B2" s="30"/>
      <c r="C2" s="23">
        <f>'Final Scoring Sheet'!$C$2</f>
        <v>0</v>
      </c>
      <c r="D2" s="18"/>
      <c r="E2" s="18"/>
      <c r="F2" s="18"/>
      <c r="G2" s="18"/>
      <c r="H2" s="18"/>
      <c r="I2" s="19"/>
    </row>
    <row r="3" spans="1:9" x14ac:dyDescent="0.25">
      <c r="A3" s="29" t="s">
        <v>76</v>
      </c>
      <c r="B3" s="30"/>
      <c r="C3" s="23">
        <f>'Final Scoring Sheet'!$C$3</f>
        <v>0</v>
      </c>
      <c r="D3" s="18"/>
      <c r="E3" s="18"/>
      <c r="F3" s="18"/>
      <c r="G3" s="18"/>
      <c r="H3" s="18"/>
      <c r="I3" s="19"/>
    </row>
    <row r="4" spans="1:9" x14ac:dyDescent="0.25">
      <c r="A4" s="20" t="s">
        <v>0</v>
      </c>
      <c r="B4" s="35" t="s">
        <v>3</v>
      </c>
      <c r="C4" s="35"/>
      <c r="D4" s="35" t="s">
        <v>4</v>
      </c>
      <c r="E4" s="35"/>
      <c r="F4" s="25" t="s">
        <v>90</v>
      </c>
      <c r="G4" s="35" t="s">
        <v>7</v>
      </c>
      <c r="H4" s="35"/>
      <c r="I4" s="36"/>
    </row>
    <row r="5" spans="1:9" ht="50.25" customHeight="1" x14ac:dyDescent="0.25">
      <c r="A5" s="6">
        <v>1</v>
      </c>
      <c r="B5" s="24" t="s">
        <v>14</v>
      </c>
      <c r="C5" s="24" t="s">
        <v>15</v>
      </c>
      <c r="D5" s="37" t="s">
        <v>83</v>
      </c>
      <c r="E5" s="37"/>
      <c r="F5" s="24"/>
      <c r="G5" s="39" t="s">
        <v>101</v>
      </c>
      <c r="H5" s="40"/>
      <c r="I5" s="41"/>
    </row>
    <row r="6" spans="1:9" ht="48" customHeight="1" x14ac:dyDescent="0.25">
      <c r="A6" s="6">
        <v>2</v>
      </c>
      <c r="B6" s="24" t="s">
        <v>14</v>
      </c>
      <c r="C6" s="24" t="s">
        <v>58</v>
      </c>
      <c r="D6" s="37" t="s">
        <v>84</v>
      </c>
      <c r="E6" s="37"/>
      <c r="F6" s="24"/>
      <c r="G6" s="39" t="s">
        <v>102</v>
      </c>
      <c r="H6" s="40"/>
      <c r="I6" s="41"/>
    </row>
    <row r="7" spans="1:9" ht="58.5" customHeight="1" x14ac:dyDescent="0.25">
      <c r="A7" s="6">
        <v>3</v>
      </c>
      <c r="B7" s="24" t="s">
        <v>14</v>
      </c>
      <c r="C7" s="24" t="s">
        <v>19</v>
      </c>
      <c r="D7" s="37" t="s">
        <v>85</v>
      </c>
      <c r="E7" s="37"/>
      <c r="F7" s="24"/>
      <c r="G7" s="39" t="s">
        <v>103</v>
      </c>
      <c r="H7" s="40"/>
      <c r="I7" s="41"/>
    </row>
    <row r="8" spans="1:9" ht="50.25" customHeight="1" x14ac:dyDescent="0.25">
      <c r="A8" s="6">
        <v>4</v>
      </c>
      <c r="B8" s="24" t="s">
        <v>14</v>
      </c>
      <c r="C8" s="24" t="s">
        <v>22</v>
      </c>
      <c r="D8" s="37" t="s">
        <v>86</v>
      </c>
      <c r="E8" s="37"/>
      <c r="F8" s="24"/>
      <c r="G8" s="39" t="s">
        <v>104</v>
      </c>
      <c r="H8" s="40"/>
      <c r="I8" s="41"/>
    </row>
    <row r="9" spans="1:9" ht="74.25" customHeight="1" x14ac:dyDescent="0.25">
      <c r="A9" s="6">
        <v>5</v>
      </c>
      <c r="B9" s="26" t="s">
        <v>14</v>
      </c>
      <c r="C9" s="26" t="s">
        <v>94</v>
      </c>
      <c r="D9" s="38" t="s">
        <v>120</v>
      </c>
      <c r="E9" s="38"/>
      <c r="F9" s="24"/>
      <c r="G9" s="42" t="s">
        <v>105</v>
      </c>
      <c r="H9" s="43"/>
      <c r="I9" s="44"/>
    </row>
    <row r="10" spans="1:9" ht="64.5" customHeight="1" x14ac:dyDescent="0.25">
      <c r="A10" s="6">
        <v>6</v>
      </c>
      <c r="B10" s="24" t="s">
        <v>14</v>
      </c>
      <c r="C10" s="24" t="s">
        <v>26</v>
      </c>
      <c r="D10" s="37" t="s">
        <v>128</v>
      </c>
      <c r="E10" s="37"/>
      <c r="F10" s="24"/>
      <c r="G10" s="39" t="s">
        <v>106</v>
      </c>
      <c r="H10" s="40"/>
      <c r="I10" s="41"/>
    </row>
    <row r="11" spans="1:9" ht="63" customHeight="1" x14ac:dyDescent="0.25">
      <c r="A11" s="6">
        <v>7</v>
      </c>
      <c r="B11" s="24" t="s">
        <v>14</v>
      </c>
      <c r="C11" s="24" t="s">
        <v>60</v>
      </c>
      <c r="D11" s="37" t="s">
        <v>127</v>
      </c>
      <c r="E11" s="37"/>
      <c r="F11" s="24"/>
      <c r="G11" s="39"/>
      <c r="H11" s="40"/>
      <c r="I11" s="41"/>
    </row>
    <row r="12" spans="1:9" ht="60.75" customHeight="1" x14ac:dyDescent="0.25">
      <c r="A12" s="6">
        <v>8</v>
      </c>
      <c r="B12" s="24" t="s">
        <v>14</v>
      </c>
      <c r="C12" s="24" t="s">
        <v>30</v>
      </c>
      <c r="D12" s="37" t="s">
        <v>89</v>
      </c>
      <c r="E12" s="37"/>
      <c r="F12" s="24"/>
      <c r="G12" s="39" t="s">
        <v>107</v>
      </c>
      <c r="H12" s="40"/>
      <c r="I12" s="41"/>
    </row>
    <row r="13" spans="1:9" ht="30" customHeight="1" x14ac:dyDescent="0.25">
      <c r="A13" s="6">
        <v>9</v>
      </c>
      <c r="B13" s="24" t="s">
        <v>14</v>
      </c>
      <c r="C13" s="24" t="s">
        <v>61</v>
      </c>
      <c r="D13" s="37" t="s">
        <v>87</v>
      </c>
      <c r="E13" s="37"/>
      <c r="F13" s="24"/>
      <c r="G13" s="39"/>
      <c r="H13" s="40"/>
      <c r="I13" s="41"/>
    </row>
    <row r="14" spans="1:9" ht="51.75" customHeight="1" x14ac:dyDescent="0.25">
      <c r="A14" s="6">
        <v>10</v>
      </c>
      <c r="B14" s="24" t="s">
        <v>14</v>
      </c>
      <c r="C14" s="24" t="s">
        <v>62</v>
      </c>
      <c r="D14" s="37" t="s">
        <v>126</v>
      </c>
      <c r="E14" s="37"/>
      <c r="F14" s="24"/>
      <c r="G14" s="39" t="s">
        <v>116</v>
      </c>
      <c r="H14" s="40"/>
      <c r="I14" s="41"/>
    </row>
    <row r="15" spans="1:9" ht="33" customHeight="1" x14ac:dyDescent="0.25">
      <c r="A15" s="6">
        <v>11</v>
      </c>
      <c r="B15" s="24" t="s">
        <v>14</v>
      </c>
      <c r="C15" s="24" t="s">
        <v>63</v>
      </c>
      <c r="D15" s="37" t="s">
        <v>125</v>
      </c>
      <c r="E15" s="37"/>
      <c r="F15" s="24"/>
      <c r="G15" s="39" t="s">
        <v>64</v>
      </c>
      <c r="H15" s="40"/>
      <c r="I15" s="41"/>
    </row>
    <row r="16" spans="1:9" ht="58.5" customHeight="1" x14ac:dyDescent="0.25">
      <c r="A16" s="6">
        <v>12</v>
      </c>
      <c r="B16" s="24" t="s">
        <v>14</v>
      </c>
      <c r="C16" s="24" t="s">
        <v>66</v>
      </c>
      <c r="D16" s="37" t="s">
        <v>39</v>
      </c>
      <c r="E16" s="37"/>
      <c r="F16" s="24"/>
      <c r="G16" s="39" t="s">
        <v>129</v>
      </c>
      <c r="H16" s="40"/>
      <c r="I16" s="41"/>
    </row>
    <row r="17" spans="1:9" ht="52.5" customHeight="1" x14ac:dyDescent="0.25">
      <c r="A17" s="6">
        <v>13</v>
      </c>
      <c r="B17" s="24" t="s">
        <v>14</v>
      </c>
      <c r="C17" s="24" t="s">
        <v>41</v>
      </c>
      <c r="D17" s="37" t="s">
        <v>124</v>
      </c>
      <c r="E17" s="37"/>
      <c r="F17" s="24"/>
      <c r="G17" s="39" t="s">
        <v>121</v>
      </c>
      <c r="H17" s="40"/>
      <c r="I17" s="41"/>
    </row>
    <row r="18" spans="1:9" ht="31.5" customHeight="1" x14ac:dyDescent="0.25">
      <c r="A18" s="6">
        <v>14</v>
      </c>
      <c r="B18" s="24" t="s">
        <v>14</v>
      </c>
      <c r="C18" s="24" t="s">
        <v>44</v>
      </c>
      <c r="D18" s="37" t="s">
        <v>123</v>
      </c>
      <c r="E18" s="37"/>
      <c r="F18" s="24"/>
      <c r="G18" s="39"/>
      <c r="H18" s="40"/>
      <c r="I18" s="41"/>
    </row>
    <row r="19" spans="1:9" ht="54" customHeight="1" x14ac:dyDescent="0.25">
      <c r="A19" s="6">
        <v>15</v>
      </c>
      <c r="B19" s="24" t="s">
        <v>14</v>
      </c>
      <c r="C19" s="24" t="s">
        <v>47</v>
      </c>
      <c r="D19" s="37" t="s">
        <v>122</v>
      </c>
      <c r="E19" s="37"/>
      <c r="F19" s="24"/>
      <c r="G19" s="39" t="s">
        <v>109</v>
      </c>
      <c r="H19" s="40"/>
      <c r="I19" s="41"/>
    </row>
    <row r="20" spans="1:9" ht="49.5" customHeight="1" x14ac:dyDescent="0.25">
      <c r="A20" s="6">
        <v>16</v>
      </c>
      <c r="B20" s="24" t="s">
        <v>14</v>
      </c>
      <c r="C20" s="24" t="s">
        <v>67</v>
      </c>
      <c r="D20" s="37" t="s">
        <v>88</v>
      </c>
      <c r="E20" s="37"/>
      <c r="F20" s="24"/>
      <c r="G20" s="39" t="s">
        <v>108</v>
      </c>
      <c r="H20" s="40"/>
      <c r="I20" s="41"/>
    </row>
    <row r="21" spans="1:9" ht="21" x14ac:dyDescent="0.35">
      <c r="A21" s="3"/>
      <c r="B21" s="3"/>
      <c r="C21" s="2"/>
      <c r="D21" s="1"/>
      <c r="E21" s="4"/>
      <c r="F21" s="5"/>
      <c r="G21" s="4"/>
      <c r="H21" s="5"/>
      <c r="I21" s="1"/>
    </row>
  </sheetData>
  <mergeCells count="38">
    <mergeCell ref="D1:I1"/>
    <mergeCell ref="A2:B2"/>
    <mergeCell ref="A3:B3"/>
    <mergeCell ref="B4:C4"/>
    <mergeCell ref="D4:E4"/>
    <mergeCell ref="G4:I4"/>
    <mergeCell ref="D5:E5"/>
    <mergeCell ref="G5:I5"/>
    <mergeCell ref="D6:E6"/>
    <mergeCell ref="G6:I6"/>
    <mergeCell ref="D7:E7"/>
    <mergeCell ref="G7:I7"/>
    <mergeCell ref="D8:E8"/>
    <mergeCell ref="G8:I8"/>
    <mergeCell ref="D9:E9"/>
    <mergeCell ref="G9:I9"/>
    <mergeCell ref="D10:E10"/>
    <mergeCell ref="G10:I10"/>
    <mergeCell ref="D11:E11"/>
    <mergeCell ref="G11:I11"/>
    <mergeCell ref="D12:E12"/>
    <mergeCell ref="G12:I12"/>
    <mergeCell ref="D13:E13"/>
    <mergeCell ref="G13:I13"/>
    <mergeCell ref="D14:E14"/>
    <mergeCell ref="G14:I14"/>
    <mergeCell ref="D15:E15"/>
    <mergeCell ref="G15:I15"/>
    <mergeCell ref="D16:E16"/>
    <mergeCell ref="G16:I16"/>
    <mergeCell ref="D20:E20"/>
    <mergeCell ref="G20:I20"/>
    <mergeCell ref="D17:E17"/>
    <mergeCell ref="G17:I17"/>
    <mergeCell ref="D18:E18"/>
    <mergeCell ref="G18:I18"/>
    <mergeCell ref="D19:E19"/>
    <mergeCell ref="G19:I1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I21"/>
  <sheetViews>
    <sheetView zoomScale="90" zoomScaleNormal="90" workbookViewId="0">
      <selection activeCell="F18" sqref="F18"/>
    </sheetView>
  </sheetViews>
  <sheetFormatPr defaultRowHeight="15" x14ac:dyDescent="0.25"/>
  <cols>
    <col min="2" max="4" width="20.7109375" customWidth="1"/>
    <col min="5" max="5" width="30.7109375" customWidth="1"/>
    <col min="6" max="6" width="20.7109375" customWidth="1"/>
    <col min="7" max="7" width="30.7109375" customWidth="1"/>
    <col min="8" max="8" width="20.7109375" customWidth="1"/>
    <col min="9" max="9" width="60.7109375" customWidth="1"/>
  </cols>
  <sheetData>
    <row r="1" spans="1:9" ht="78.75" customHeight="1" x14ac:dyDescent="0.25">
      <c r="A1" s="15"/>
      <c r="B1" s="16"/>
      <c r="C1" s="16"/>
      <c r="D1" s="33" t="s">
        <v>91</v>
      </c>
      <c r="E1" s="33"/>
      <c r="F1" s="33"/>
      <c r="G1" s="33"/>
      <c r="H1" s="33"/>
      <c r="I1" s="34"/>
    </row>
    <row r="2" spans="1:9" x14ac:dyDescent="0.25">
      <c r="A2" s="29" t="s">
        <v>82</v>
      </c>
      <c r="B2" s="30"/>
      <c r="C2" s="23">
        <f>'Final Scoring Sheet'!$C$2</f>
        <v>0</v>
      </c>
      <c r="D2" s="18"/>
      <c r="E2" s="18"/>
      <c r="F2" s="18"/>
      <c r="G2" s="18"/>
      <c r="H2" s="18"/>
      <c r="I2" s="19"/>
    </row>
    <row r="3" spans="1:9" x14ac:dyDescent="0.25">
      <c r="A3" s="29" t="s">
        <v>76</v>
      </c>
      <c r="B3" s="30"/>
      <c r="C3" s="23">
        <f>'Final Scoring Sheet'!$C$3</f>
        <v>0</v>
      </c>
      <c r="D3" s="18"/>
      <c r="E3" s="18"/>
      <c r="F3" s="18"/>
      <c r="G3" s="18"/>
      <c r="H3" s="18"/>
      <c r="I3" s="19"/>
    </row>
    <row r="4" spans="1:9" x14ac:dyDescent="0.25">
      <c r="A4" s="20" t="s">
        <v>0</v>
      </c>
      <c r="B4" s="35" t="s">
        <v>3</v>
      </c>
      <c r="C4" s="35"/>
      <c r="D4" s="35" t="s">
        <v>4</v>
      </c>
      <c r="E4" s="35"/>
      <c r="F4" s="25" t="s">
        <v>90</v>
      </c>
      <c r="G4" s="35" t="s">
        <v>7</v>
      </c>
      <c r="H4" s="35"/>
      <c r="I4" s="36"/>
    </row>
    <row r="5" spans="1:9" ht="50.25" customHeight="1" x14ac:dyDescent="0.25">
      <c r="A5" s="6">
        <v>1</v>
      </c>
      <c r="B5" s="24" t="s">
        <v>14</v>
      </c>
      <c r="C5" s="24" t="s">
        <v>15</v>
      </c>
      <c r="D5" s="37" t="s">
        <v>83</v>
      </c>
      <c r="E5" s="37"/>
      <c r="F5" s="24"/>
      <c r="G5" s="39" t="s">
        <v>101</v>
      </c>
      <c r="H5" s="40"/>
      <c r="I5" s="41"/>
    </row>
    <row r="6" spans="1:9" ht="48" customHeight="1" x14ac:dyDescent="0.25">
      <c r="A6" s="6">
        <v>2</v>
      </c>
      <c r="B6" s="24" t="s">
        <v>14</v>
      </c>
      <c r="C6" s="24" t="s">
        <v>58</v>
      </c>
      <c r="D6" s="37" t="s">
        <v>84</v>
      </c>
      <c r="E6" s="37"/>
      <c r="F6" s="24"/>
      <c r="G6" s="39" t="s">
        <v>102</v>
      </c>
      <c r="H6" s="40"/>
      <c r="I6" s="41"/>
    </row>
    <row r="7" spans="1:9" ht="58.5" customHeight="1" x14ac:dyDescent="0.25">
      <c r="A7" s="6">
        <v>3</v>
      </c>
      <c r="B7" s="24" t="s">
        <v>14</v>
      </c>
      <c r="C7" s="24" t="s">
        <v>19</v>
      </c>
      <c r="D7" s="37" t="s">
        <v>85</v>
      </c>
      <c r="E7" s="37"/>
      <c r="F7" s="24"/>
      <c r="G7" s="39" t="s">
        <v>103</v>
      </c>
      <c r="H7" s="40"/>
      <c r="I7" s="41"/>
    </row>
    <row r="8" spans="1:9" ht="50.25" customHeight="1" x14ac:dyDescent="0.25">
      <c r="A8" s="6">
        <v>4</v>
      </c>
      <c r="B8" s="24" t="s">
        <v>14</v>
      </c>
      <c r="C8" s="24" t="s">
        <v>22</v>
      </c>
      <c r="D8" s="37" t="s">
        <v>86</v>
      </c>
      <c r="E8" s="37"/>
      <c r="F8" s="24"/>
      <c r="G8" s="39" t="s">
        <v>104</v>
      </c>
      <c r="H8" s="40"/>
      <c r="I8" s="41"/>
    </row>
    <row r="9" spans="1:9" ht="74.25" customHeight="1" x14ac:dyDescent="0.25">
      <c r="A9" s="6">
        <v>5</v>
      </c>
      <c r="B9" s="26" t="s">
        <v>14</v>
      </c>
      <c r="C9" s="26" t="s">
        <v>94</v>
      </c>
      <c r="D9" s="38" t="s">
        <v>120</v>
      </c>
      <c r="E9" s="38"/>
      <c r="F9" s="24"/>
      <c r="G9" s="42" t="s">
        <v>105</v>
      </c>
      <c r="H9" s="43"/>
      <c r="I9" s="44"/>
    </row>
    <row r="10" spans="1:9" ht="64.5" customHeight="1" x14ac:dyDescent="0.25">
      <c r="A10" s="6">
        <v>6</v>
      </c>
      <c r="B10" s="24" t="s">
        <v>14</v>
      </c>
      <c r="C10" s="24" t="s">
        <v>26</v>
      </c>
      <c r="D10" s="37" t="s">
        <v>128</v>
      </c>
      <c r="E10" s="37"/>
      <c r="F10" s="24"/>
      <c r="G10" s="39" t="s">
        <v>106</v>
      </c>
      <c r="H10" s="40"/>
      <c r="I10" s="41"/>
    </row>
    <row r="11" spans="1:9" ht="63" customHeight="1" x14ac:dyDescent="0.25">
      <c r="A11" s="6">
        <v>7</v>
      </c>
      <c r="B11" s="24" t="s">
        <v>14</v>
      </c>
      <c r="C11" s="24" t="s">
        <v>60</v>
      </c>
      <c r="D11" s="37" t="s">
        <v>127</v>
      </c>
      <c r="E11" s="37"/>
      <c r="F11" s="24"/>
      <c r="G11" s="39"/>
      <c r="H11" s="40"/>
      <c r="I11" s="41"/>
    </row>
    <row r="12" spans="1:9" ht="60.75" customHeight="1" x14ac:dyDescent="0.25">
      <c r="A12" s="6">
        <v>8</v>
      </c>
      <c r="B12" s="24" t="s">
        <v>14</v>
      </c>
      <c r="C12" s="24" t="s">
        <v>30</v>
      </c>
      <c r="D12" s="37" t="s">
        <v>89</v>
      </c>
      <c r="E12" s="37"/>
      <c r="F12" s="24"/>
      <c r="G12" s="39" t="s">
        <v>107</v>
      </c>
      <c r="H12" s="40"/>
      <c r="I12" s="41"/>
    </row>
    <row r="13" spans="1:9" ht="30" customHeight="1" x14ac:dyDescent="0.25">
      <c r="A13" s="6">
        <v>9</v>
      </c>
      <c r="B13" s="24" t="s">
        <v>14</v>
      </c>
      <c r="C13" s="24" t="s">
        <v>61</v>
      </c>
      <c r="D13" s="37" t="s">
        <v>87</v>
      </c>
      <c r="E13" s="37"/>
      <c r="F13" s="24"/>
      <c r="G13" s="39"/>
      <c r="H13" s="40"/>
      <c r="I13" s="41"/>
    </row>
    <row r="14" spans="1:9" ht="51.75" customHeight="1" x14ac:dyDescent="0.25">
      <c r="A14" s="6">
        <v>10</v>
      </c>
      <c r="B14" s="24" t="s">
        <v>14</v>
      </c>
      <c r="C14" s="24" t="s">
        <v>62</v>
      </c>
      <c r="D14" s="37" t="s">
        <v>126</v>
      </c>
      <c r="E14" s="37"/>
      <c r="F14" s="24"/>
      <c r="G14" s="39" t="s">
        <v>116</v>
      </c>
      <c r="H14" s="40"/>
      <c r="I14" s="41"/>
    </row>
    <row r="15" spans="1:9" ht="33" customHeight="1" x14ac:dyDescent="0.25">
      <c r="A15" s="6">
        <v>11</v>
      </c>
      <c r="B15" s="24" t="s">
        <v>14</v>
      </c>
      <c r="C15" s="24" t="s">
        <v>63</v>
      </c>
      <c r="D15" s="37" t="s">
        <v>125</v>
      </c>
      <c r="E15" s="37"/>
      <c r="F15" s="24"/>
      <c r="G15" s="39" t="s">
        <v>64</v>
      </c>
      <c r="H15" s="40"/>
      <c r="I15" s="41"/>
    </row>
    <row r="16" spans="1:9" ht="63" customHeight="1" x14ac:dyDescent="0.25">
      <c r="A16" s="6">
        <v>12</v>
      </c>
      <c r="B16" s="24" t="s">
        <v>14</v>
      </c>
      <c r="C16" s="24" t="s">
        <v>66</v>
      </c>
      <c r="D16" s="37" t="s">
        <v>39</v>
      </c>
      <c r="E16" s="37"/>
      <c r="F16" s="24"/>
      <c r="G16" s="39" t="s">
        <v>129</v>
      </c>
      <c r="H16" s="40"/>
      <c r="I16" s="41"/>
    </row>
    <row r="17" spans="1:9" ht="52.5" customHeight="1" x14ac:dyDescent="0.25">
      <c r="A17" s="6">
        <v>13</v>
      </c>
      <c r="B17" s="24" t="s">
        <v>14</v>
      </c>
      <c r="C17" s="24" t="s">
        <v>41</v>
      </c>
      <c r="D17" s="37" t="s">
        <v>124</v>
      </c>
      <c r="E17" s="37"/>
      <c r="F17" s="24"/>
      <c r="G17" s="39" t="s">
        <v>121</v>
      </c>
      <c r="H17" s="40"/>
      <c r="I17" s="41"/>
    </row>
    <row r="18" spans="1:9" ht="31.5" customHeight="1" x14ac:dyDescent="0.25">
      <c r="A18" s="6">
        <v>14</v>
      </c>
      <c r="B18" s="24" t="s">
        <v>14</v>
      </c>
      <c r="C18" s="24" t="s">
        <v>44</v>
      </c>
      <c r="D18" s="37" t="s">
        <v>123</v>
      </c>
      <c r="E18" s="37"/>
      <c r="F18" s="24"/>
      <c r="G18" s="39"/>
      <c r="H18" s="40"/>
      <c r="I18" s="41"/>
    </row>
    <row r="19" spans="1:9" ht="54" customHeight="1" x14ac:dyDescent="0.25">
      <c r="A19" s="6">
        <v>15</v>
      </c>
      <c r="B19" s="24" t="s">
        <v>14</v>
      </c>
      <c r="C19" s="24" t="s">
        <v>47</v>
      </c>
      <c r="D19" s="37" t="s">
        <v>122</v>
      </c>
      <c r="E19" s="37"/>
      <c r="F19" s="24"/>
      <c r="G19" s="39" t="s">
        <v>109</v>
      </c>
      <c r="H19" s="40"/>
      <c r="I19" s="41"/>
    </row>
    <row r="20" spans="1:9" ht="49.5" customHeight="1" x14ac:dyDescent="0.25">
      <c r="A20" s="6">
        <v>16</v>
      </c>
      <c r="B20" s="24" t="s">
        <v>14</v>
      </c>
      <c r="C20" s="24" t="s">
        <v>67</v>
      </c>
      <c r="D20" s="37" t="s">
        <v>88</v>
      </c>
      <c r="E20" s="37"/>
      <c r="F20" s="24"/>
      <c r="G20" s="39" t="s">
        <v>108</v>
      </c>
      <c r="H20" s="40"/>
      <c r="I20" s="41"/>
    </row>
    <row r="21" spans="1:9" ht="21" x14ac:dyDescent="0.35">
      <c r="A21" s="3"/>
      <c r="B21" s="3"/>
      <c r="C21" s="2"/>
      <c r="D21" s="1"/>
      <c r="E21" s="4"/>
      <c r="F21" s="5"/>
      <c r="G21" s="4"/>
      <c r="H21" s="5"/>
      <c r="I21" s="1"/>
    </row>
  </sheetData>
  <mergeCells count="38">
    <mergeCell ref="D1:I1"/>
    <mergeCell ref="A2:B2"/>
    <mergeCell ref="A3:B3"/>
    <mergeCell ref="B4:C4"/>
    <mergeCell ref="D4:E4"/>
    <mergeCell ref="G4:I4"/>
    <mergeCell ref="D5:E5"/>
    <mergeCell ref="G5:I5"/>
    <mergeCell ref="D6:E6"/>
    <mergeCell ref="G6:I6"/>
    <mergeCell ref="D7:E7"/>
    <mergeCell ref="G7:I7"/>
    <mergeCell ref="D8:E8"/>
    <mergeCell ref="G8:I8"/>
    <mergeCell ref="D9:E9"/>
    <mergeCell ref="G9:I9"/>
    <mergeCell ref="D10:E10"/>
    <mergeCell ref="G10:I10"/>
    <mergeCell ref="D11:E11"/>
    <mergeCell ref="G11:I11"/>
    <mergeCell ref="D12:E12"/>
    <mergeCell ref="G12:I12"/>
    <mergeCell ref="D13:E13"/>
    <mergeCell ref="G13:I13"/>
    <mergeCell ref="D14:E14"/>
    <mergeCell ref="G14:I14"/>
    <mergeCell ref="D15:E15"/>
    <mergeCell ref="G15:I15"/>
    <mergeCell ref="D16:E16"/>
    <mergeCell ref="G16:I16"/>
    <mergeCell ref="D20:E20"/>
    <mergeCell ref="G20:I20"/>
    <mergeCell ref="D17:E17"/>
    <mergeCell ref="G17:I17"/>
    <mergeCell ref="D18:E18"/>
    <mergeCell ref="G18:I18"/>
    <mergeCell ref="D19:E19"/>
    <mergeCell ref="G19:I1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I21"/>
  <sheetViews>
    <sheetView zoomScale="90" zoomScaleNormal="90" workbookViewId="0">
      <selection activeCell="F18" sqref="F18"/>
    </sheetView>
  </sheetViews>
  <sheetFormatPr defaultRowHeight="15" x14ac:dyDescent="0.25"/>
  <cols>
    <col min="2" max="4" width="20.7109375" customWidth="1"/>
    <col min="5" max="5" width="30.7109375" customWidth="1"/>
    <col min="6" max="6" width="20.7109375" customWidth="1"/>
    <col min="7" max="7" width="30.7109375" customWidth="1"/>
    <col min="8" max="8" width="20.7109375" customWidth="1"/>
    <col min="9" max="9" width="60.7109375" customWidth="1"/>
  </cols>
  <sheetData>
    <row r="1" spans="1:9" ht="78.75" customHeight="1" x14ac:dyDescent="0.25">
      <c r="A1" s="15"/>
      <c r="B1" s="16"/>
      <c r="C1" s="16"/>
      <c r="D1" s="33" t="s">
        <v>91</v>
      </c>
      <c r="E1" s="33"/>
      <c r="F1" s="33"/>
      <c r="G1" s="33"/>
      <c r="H1" s="33"/>
      <c r="I1" s="34"/>
    </row>
    <row r="2" spans="1:9" x14ac:dyDescent="0.25">
      <c r="A2" s="29" t="s">
        <v>82</v>
      </c>
      <c r="B2" s="30"/>
      <c r="C2" s="23">
        <f>'Final Scoring Sheet'!$C$2</f>
        <v>0</v>
      </c>
      <c r="D2" s="18"/>
      <c r="E2" s="18"/>
      <c r="F2" s="18"/>
      <c r="G2" s="18"/>
      <c r="H2" s="18"/>
      <c r="I2" s="19"/>
    </row>
    <row r="3" spans="1:9" x14ac:dyDescent="0.25">
      <c r="A3" s="29" t="s">
        <v>76</v>
      </c>
      <c r="B3" s="30"/>
      <c r="C3" s="23">
        <f>'Final Scoring Sheet'!$C$3</f>
        <v>0</v>
      </c>
      <c r="D3" s="18"/>
      <c r="E3" s="18"/>
      <c r="F3" s="18"/>
      <c r="G3" s="18"/>
      <c r="H3" s="18"/>
      <c r="I3" s="19"/>
    </row>
    <row r="4" spans="1:9" x14ac:dyDescent="0.25">
      <c r="A4" s="20" t="s">
        <v>0</v>
      </c>
      <c r="B4" s="35" t="s">
        <v>3</v>
      </c>
      <c r="C4" s="35"/>
      <c r="D4" s="35" t="s">
        <v>4</v>
      </c>
      <c r="E4" s="35"/>
      <c r="F4" s="25" t="s">
        <v>90</v>
      </c>
      <c r="G4" s="35" t="s">
        <v>7</v>
      </c>
      <c r="H4" s="35"/>
      <c r="I4" s="36"/>
    </row>
    <row r="5" spans="1:9" ht="50.25" customHeight="1" x14ac:dyDescent="0.25">
      <c r="A5" s="6">
        <v>1</v>
      </c>
      <c r="B5" s="24" t="s">
        <v>14</v>
      </c>
      <c r="C5" s="24" t="s">
        <v>15</v>
      </c>
      <c r="D5" s="37" t="s">
        <v>83</v>
      </c>
      <c r="E5" s="37"/>
      <c r="F5" s="24"/>
      <c r="G5" s="39" t="s">
        <v>101</v>
      </c>
      <c r="H5" s="40"/>
      <c r="I5" s="41"/>
    </row>
    <row r="6" spans="1:9" ht="48" customHeight="1" x14ac:dyDescent="0.25">
      <c r="A6" s="6">
        <v>2</v>
      </c>
      <c r="B6" s="24" t="s">
        <v>14</v>
      </c>
      <c r="C6" s="24" t="s">
        <v>58</v>
      </c>
      <c r="D6" s="37" t="s">
        <v>84</v>
      </c>
      <c r="E6" s="37"/>
      <c r="F6" s="24"/>
      <c r="G6" s="39" t="s">
        <v>102</v>
      </c>
      <c r="H6" s="40"/>
      <c r="I6" s="41"/>
    </row>
    <row r="7" spans="1:9" ht="58.5" customHeight="1" x14ac:dyDescent="0.25">
      <c r="A7" s="6">
        <v>3</v>
      </c>
      <c r="B7" s="24" t="s">
        <v>14</v>
      </c>
      <c r="C7" s="24" t="s">
        <v>19</v>
      </c>
      <c r="D7" s="37" t="s">
        <v>85</v>
      </c>
      <c r="E7" s="37"/>
      <c r="F7" s="24"/>
      <c r="G7" s="39" t="s">
        <v>103</v>
      </c>
      <c r="H7" s="40"/>
      <c r="I7" s="41"/>
    </row>
    <row r="8" spans="1:9" ht="50.25" customHeight="1" x14ac:dyDescent="0.25">
      <c r="A8" s="6">
        <v>4</v>
      </c>
      <c r="B8" s="24" t="s">
        <v>14</v>
      </c>
      <c r="C8" s="24" t="s">
        <v>22</v>
      </c>
      <c r="D8" s="37" t="s">
        <v>86</v>
      </c>
      <c r="E8" s="37"/>
      <c r="F8" s="24"/>
      <c r="G8" s="39" t="s">
        <v>104</v>
      </c>
      <c r="H8" s="40"/>
      <c r="I8" s="41"/>
    </row>
    <row r="9" spans="1:9" ht="74.25" customHeight="1" x14ac:dyDescent="0.25">
      <c r="A9" s="6">
        <v>5</v>
      </c>
      <c r="B9" s="26" t="s">
        <v>14</v>
      </c>
      <c r="C9" s="26" t="s">
        <v>94</v>
      </c>
      <c r="D9" s="38" t="s">
        <v>120</v>
      </c>
      <c r="E9" s="38"/>
      <c r="F9" s="24"/>
      <c r="G9" s="42" t="s">
        <v>105</v>
      </c>
      <c r="H9" s="43"/>
      <c r="I9" s="44"/>
    </row>
    <row r="10" spans="1:9" ht="64.5" customHeight="1" x14ac:dyDescent="0.25">
      <c r="A10" s="6">
        <v>6</v>
      </c>
      <c r="B10" s="24" t="s">
        <v>14</v>
      </c>
      <c r="C10" s="24" t="s">
        <v>26</v>
      </c>
      <c r="D10" s="37" t="s">
        <v>128</v>
      </c>
      <c r="E10" s="37"/>
      <c r="F10" s="24"/>
      <c r="G10" s="39" t="s">
        <v>106</v>
      </c>
      <c r="H10" s="40"/>
      <c r="I10" s="41"/>
    </row>
    <row r="11" spans="1:9" ht="63" customHeight="1" x14ac:dyDescent="0.25">
      <c r="A11" s="6">
        <v>7</v>
      </c>
      <c r="B11" s="24" t="s">
        <v>14</v>
      </c>
      <c r="C11" s="24" t="s">
        <v>60</v>
      </c>
      <c r="D11" s="37" t="s">
        <v>127</v>
      </c>
      <c r="E11" s="37"/>
      <c r="F11" s="24"/>
      <c r="G11" s="39"/>
      <c r="H11" s="40"/>
      <c r="I11" s="41"/>
    </row>
    <row r="12" spans="1:9" ht="60.75" customHeight="1" x14ac:dyDescent="0.25">
      <c r="A12" s="6">
        <v>8</v>
      </c>
      <c r="B12" s="24" t="s">
        <v>14</v>
      </c>
      <c r="C12" s="24" t="s">
        <v>30</v>
      </c>
      <c r="D12" s="37" t="s">
        <v>89</v>
      </c>
      <c r="E12" s="37"/>
      <c r="F12" s="24"/>
      <c r="G12" s="39" t="s">
        <v>107</v>
      </c>
      <c r="H12" s="40"/>
      <c r="I12" s="41"/>
    </row>
    <row r="13" spans="1:9" ht="30" customHeight="1" x14ac:dyDescent="0.25">
      <c r="A13" s="6">
        <v>9</v>
      </c>
      <c r="B13" s="24" t="s">
        <v>14</v>
      </c>
      <c r="C13" s="24" t="s">
        <v>61</v>
      </c>
      <c r="D13" s="37" t="s">
        <v>87</v>
      </c>
      <c r="E13" s="37"/>
      <c r="F13" s="24"/>
      <c r="G13" s="39"/>
      <c r="H13" s="40"/>
      <c r="I13" s="41"/>
    </row>
    <row r="14" spans="1:9" ht="51.75" customHeight="1" x14ac:dyDescent="0.25">
      <c r="A14" s="6">
        <v>10</v>
      </c>
      <c r="B14" s="24" t="s">
        <v>14</v>
      </c>
      <c r="C14" s="24" t="s">
        <v>62</v>
      </c>
      <c r="D14" s="37" t="s">
        <v>126</v>
      </c>
      <c r="E14" s="37"/>
      <c r="F14" s="24"/>
      <c r="G14" s="39" t="s">
        <v>116</v>
      </c>
      <c r="H14" s="40"/>
      <c r="I14" s="41"/>
    </row>
    <row r="15" spans="1:9" ht="33" customHeight="1" x14ac:dyDescent="0.25">
      <c r="A15" s="6">
        <v>11</v>
      </c>
      <c r="B15" s="24" t="s">
        <v>14</v>
      </c>
      <c r="C15" s="24" t="s">
        <v>63</v>
      </c>
      <c r="D15" s="37" t="s">
        <v>125</v>
      </c>
      <c r="E15" s="37"/>
      <c r="F15" s="24"/>
      <c r="G15" s="39" t="s">
        <v>64</v>
      </c>
      <c r="H15" s="40"/>
      <c r="I15" s="41"/>
    </row>
    <row r="16" spans="1:9" ht="61.5" customHeight="1" x14ac:dyDescent="0.25">
      <c r="A16" s="6">
        <v>12</v>
      </c>
      <c r="B16" s="24" t="s">
        <v>14</v>
      </c>
      <c r="C16" s="24" t="s">
        <v>66</v>
      </c>
      <c r="D16" s="37" t="s">
        <v>39</v>
      </c>
      <c r="E16" s="37"/>
      <c r="F16" s="24"/>
      <c r="G16" s="39" t="s">
        <v>129</v>
      </c>
      <c r="H16" s="40"/>
      <c r="I16" s="41"/>
    </row>
    <row r="17" spans="1:9" ht="52.5" customHeight="1" x14ac:dyDescent="0.25">
      <c r="A17" s="6">
        <v>13</v>
      </c>
      <c r="B17" s="24" t="s">
        <v>14</v>
      </c>
      <c r="C17" s="24" t="s">
        <v>41</v>
      </c>
      <c r="D17" s="37" t="s">
        <v>124</v>
      </c>
      <c r="E17" s="37"/>
      <c r="F17" s="24"/>
      <c r="G17" s="39" t="s">
        <v>121</v>
      </c>
      <c r="H17" s="40"/>
      <c r="I17" s="41"/>
    </row>
    <row r="18" spans="1:9" ht="31.5" customHeight="1" x14ac:dyDescent="0.25">
      <c r="A18" s="6">
        <v>14</v>
      </c>
      <c r="B18" s="24" t="s">
        <v>14</v>
      </c>
      <c r="C18" s="24" t="s">
        <v>44</v>
      </c>
      <c r="D18" s="37" t="s">
        <v>123</v>
      </c>
      <c r="E18" s="37"/>
      <c r="F18" s="24"/>
      <c r="G18" s="39"/>
      <c r="H18" s="40"/>
      <c r="I18" s="41"/>
    </row>
    <row r="19" spans="1:9" ht="54" customHeight="1" x14ac:dyDescent="0.25">
      <c r="A19" s="6">
        <v>15</v>
      </c>
      <c r="B19" s="24" t="s">
        <v>14</v>
      </c>
      <c r="C19" s="24" t="s">
        <v>47</v>
      </c>
      <c r="D19" s="37" t="s">
        <v>122</v>
      </c>
      <c r="E19" s="37"/>
      <c r="F19" s="24"/>
      <c r="G19" s="39" t="s">
        <v>109</v>
      </c>
      <c r="H19" s="40"/>
      <c r="I19" s="41"/>
    </row>
    <row r="20" spans="1:9" ht="49.5" customHeight="1" x14ac:dyDescent="0.25">
      <c r="A20" s="6">
        <v>16</v>
      </c>
      <c r="B20" s="24" t="s">
        <v>14</v>
      </c>
      <c r="C20" s="24" t="s">
        <v>67</v>
      </c>
      <c r="D20" s="37" t="s">
        <v>88</v>
      </c>
      <c r="E20" s="37"/>
      <c r="F20" s="24"/>
      <c r="G20" s="39" t="s">
        <v>108</v>
      </c>
      <c r="H20" s="40"/>
      <c r="I20" s="41"/>
    </row>
    <row r="21" spans="1:9" ht="21" x14ac:dyDescent="0.35">
      <c r="A21" s="3"/>
      <c r="B21" s="3"/>
      <c r="C21" s="2"/>
      <c r="D21" s="1"/>
      <c r="E21" s="4"/>
      <c r="F21" s="5"/>
      <c r="G21" s="4"/>
      <c r="H21" s="5"/>
      <c r="I21" s="1"/>
    </row>
  </sheetData>
  <mergeCells count="38">
    <mergeCell ref="D1:I1"/>
    <mergeCell ref="A2:B2"/>
    <mergeCell ref="A3:B3"/>
    <mergeCell ref="B4:C4"/>
    <mergeCell ref="D4:E4"/>
    <mergeCell ref="G4:I4"/>
    <mergeCell ref="D5:E5"/>
    <mergeCell ref="G5:I5"/>
    <mergeCell ref="D6:E6"/>
    <mergeCell ref="G6:I6"/>
    <mergeCell ref="D7:E7"/>
    <mergeCell ref="G7:I7"/>
    <mergeCell ref="D8:E8"/>
    <mergeCell ref="G8:I8"/>
    <mergeCell ref="D9:E9"/>
    <mergeCell ref="G9:I9"/>
    <mergeCell ref="D10:E10"/>
    <mergeCell ref="G10:I10"/>
    <mergeCell ref="D11:E11"/>
    <mergeCell ref="G11:I11"/>
    <mergeCell ref="D12:E12"/>
    <mergeCell ref="G12:I12"/>
    <mergeCell ref="D13:E13"/>
    <mergeCell ref="G13:I13"/>
    <mergeCell ref="D14:E14"/>
    <mergeCell ref="G14:I14"/>
    <mergeCell ref="D15:E15"/>
    <mergeCell ref="G15:I15"/>
    <mergeCell ref="D16:E16"/>
    <mergeCell ref="G16:I16"/>
    <mergeCell ref="D20:E20"/>
    <mergeCell ref="G20:I20"/>
    <mergeCell ref="D17:E17"/>
    <mergeCell ref="G17:I17"/>
    <mergeCell ref="D18:E18"/>
    <mergeCell ref="G18:I18"/>
    <mergeCell ref="D19:E19"/>
    <mergeCell ref="G19:I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Final Scoring Sheet</vt:lpstr>
      <vt:lpstr>Daily Checklist 1</vt:lpstr>
      <vt:lpstr>Daily Checklist 2</vt:lpstr>
      <vt:lpstr>Daily Checklist 3</vt:lpstr>
      <vt:lpstr>Daily Checklist 4</vt:lpstr>
      <vt:lpstr>Daily Checklist 5</vt:lpstr>
      <vt:lpstr>Daily Checklist 6</vt:lpstr>
      <vt:lpstr>Daily Checklist 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Annika Bergen</dc:creator>
  <cp:lastModifiedBy>Carla Inderrieden</cp:lastModifiedBy>
  <dcterms:created xsi:type="dcterms:W3CDTF">2019-08-17T17:37:52Z</dcterms:created>
  <dcterms:modified xsi:type="dcterms:W3CDTF">2019-11-26T22:22:00Z</dcterms:modified>
</cp:coreProperties>
</file>